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bainandcompany-my.sharepoint.com/personal/michelle_flood_bain_com/Documents/Documents/Cases/2026/IP-YF7A-OI 3.0/Plans/"/>
    </mc:Choice>
  </mc:AlternateContent>
  <xr:revisionPtr revIDLastSave="46" documentId="8_{72BAFED7-8560-4942-BC02-9F9B0A13F1D4}" xr6:coauthVersionLast="47" xr6:coauthVersionMax="47" xr10:uidLastSave="{D4C54857-FF64-469E-8C64-86931D880A5E}"/>
  <bookViews>
    <workbookView xWindow="28680" yWindow="-120" windowWidth="29040" windowHeight="15720" tabRatio="500" xr2:uid="{00000000-000D-0000-FFFF-FFFF00000000}"/>
  </bookViews>
  <sheets>
    <sheet name="Discovery Workpl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Y5" i="1" l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tc={E36958BF-6ED8-4887-91D9-17B63ADB85FE}</author>
    <author>tc={61D3D158-06E3-4C36-A310-C71F649D7B0E}</author>
  </authors>
  <commentList>
    <comment ref="C8" authorId="0" shapeId="0" xr:uid="{E36958BF-6ED8-4887-91D9-17B63ADB85FE}">
      <text>
        <t>[Threaded comment]
Your version of Excel allows you to read this threaded comment; however, any edits to it will get removed if the file is opened in a newer version of Excel. Learn more: https://go.microsoft.com/fwlink/?linkid=870924
Comment:
    This needs to be kicked off ASAP</t>
      </text>
    </comment>
    <comment ref="D18" authorId="1" shapeId="0" xr:uid="{61D3D158-06E3-4C36-A310-C71F649D7B0E}">
      <text>
        <t>[Threaded comment]
Your version of Excel allows you to read this threaded comment; however, any edits to it will get removed if the file is opened in a newer version of Excel. Learn more: https://go.microsoft.com/fwlink/?linkid=870924
Comment:
    Engagement Lead + Functional Consultant</t>
      </text>
    </comment>
  </commentList>
</comments>
</file>

<file path=xl/sharedStrings.xml><?xml version="1.0" encoding="utf-8"?>
<sst xmlns="http://schemas.openxmlformats.org/spreadsheetml/2006/main" count="268" uniqueCount="207">
  <si>
    <t>OI 3.0  ·  Discovery Phase Workplan  (Phase 0, Weeks 1–4)</t>
  </si>
  <si>
    <t>Prepared by Bain  |  For StatusNeo  |  6 FTE · 4 weeks · 20 working days  |  Exit gate: Discovery sign-off + CoE gate  |  Workshops: TBD  |  💡 To shift all dates, change cell F5</t>
  </si>
  <si>
    <t>Track</t>
  </si>
  <si>
    <t>Deliverable / Activity</t>
  </si>
  <si>
    <t>Owner (SN unless stated)</t>
  </si>
  <si>
    <t>Output / Artefact</t>
  </si>
  <si>
    <t>Week 1</t>
  </si>
  <si>
    <t>Week 2</t>
  </si>
  <si>
    <t>Week 3</t>
  </si>
  <si>
    <t>Week 4</t>
  </si>
  <si>
    <t>Notes / Bain dependency</t>
  </si>
  <si>
    <t>Status</t>
  </si>
  <si>
    <t>BAIN INPUTS  —  gating milestones, Bain-owned</t>
  </si>
  <si>
    <t>Bain Input</t>
  </si>
  <si>
    <t>✓  UX designer assigned and available</t>
  </si>
  <si>
    <t>Bain Design</t>
  </si>
  <si>
    <t>Designer on-boarded</t>
  </si>
  <si>
    <t>✓ Joanna on-boarded — complete</t>
  </si>
  <si>
    <t>Calculation (VCC) schema workshop scheduled</t>
  </si>
  <si>
    <t>Bain VCC</t>
  </si>
  <si>
    <t>Workshop held; schema draft agreed</t>
  </si>
  <si>
    <t>Required by end Week 1; unblocks contract-first build</t>
  </si>
  <si>
    <t>Glean / Iris / ARC access granted</t>
  </si>
  <si>
    <t>Bain KM</t>
  </si>
  <si>
    <t>Sandbox access confirmed</t>
  </si>
  <si>
    <t>Needed for retrieval eval harness in Week 3</t>
  </si>
  <si>
    <t>VRA intake engaged</t>
  </si>
  <si>
    <t>Bain Security</t>
  </si>
  <si>
    <t>VRA scoping underway</t>
  </si>
  <si>
    <t>Keeps security review parallel, not back-loaded</t>
  </si>
  <si>
    <t>Coding-agent plan + token budget confirmed</t>
  </si>
  <si>
    <t>Bain IT</t>
  </si>
  <si>
    <t>AI model access + Copilot confirmed</t>
  </si>
  <si>
    <t>Required before dev environment setup</t>
  </si>
  <si>
    <t>Data-source access granted</t>
  </si>
  <si>
    <t>Bain</t>
  </si>
  <si>
    <t>Access log confirmed per source</t>
  </si>
  <si>
    <t>Owners: VCC/Jason Barnes, KM, PEG, FRWD teams</t>
  </si>
  <si>
    <t>TRACK 1  ·  BUSINESS AND PRODUCT    Engagement Lead, AI-Native Functional Consultant</t>
  </si>
  <si>
    <t>Track 1</t>
  </si>
  <si>
    <t>Kickoff meeting — team introductions, contacts, ways of working, communication channels</t>
  </si>
  <si>
    <t>Kasia</t>
  </si>
  <si>
    <t>Agreed comms channels; contacts list; ways of working doc</t>
  </si>
  <si>
    <t>Day 1 — before any other activity begins</t>
  </si>
  <si>
    <t>Confirm Iris/ARC metadata structure and sample canonical questions</t>
  </si>
  <si>
    <t>Bain KM (TBC)</t>
  </si>
  <si>
    <t>Metadata structure doc; list of canonical questions for retrieval eval</t>
  </si>
  <si>
    <t>Feeds retrieval eval harness in Track 4 — needed early</t>
  </si>
  <si>
    <t>Current-state walkthrough of OI 2.0 — process, data sources, outputs, and Partner pain points</t>
  </si>
  <si>
    <t>Bain BCN</t>
  </si>
  <si>
    <t>As-is process doc; SN sign-off that current state is understood</t>
  </si>
  <si>
    <t>Bain BCN to run session with SN in Week 1 — foundational input before any design work begins</t>
  </si>
  <si>
    <t>Align business objectives and KPIs</t>
  </si>
  <si>
    <t>EL + FC</t>
  </si>
  <si>
    <t>Agreed objectives and KPI doc</t>
  </si>
  <si>
    <t>User journeys and stories</t>
  </si>
  <si>
    <t>FC</t>
  </si>
  <si>
    <t>User journey maps; story cards (in progress)</t>
  </si>
  <si>
    <t>Building on Joanna's prototype — continuing</t>
  </si>
  <si>
    <t>PRE-WORKSHOP: Consolidate BRD draft</t>
  </si>
  <si>
    <t>FC + EL</t>
  </si>
  <si>
    <t>Draft BRD for Workshop 1 review</t>
  </si>
  <si>
    <t>Input to Business Kick-off Workshop 4–6 Aug</t>
  </si>
  <si>
    <t>PRE-WORKSHOP: Prepare MVP scope options for business sign-off</t>
  </si>
  <si>
    <t>EL</t>
  </si>
  <si>
    <t>MVP scope options doc; decision paper</t>
  </si>
  <si>
    <t>Bain PM to review before Workshop 1</t>
  </si>
  <si>
    <t>PRE-WORKSHOP: Define business KPIs and success criteria (draft)</t>
  </si>
  <si>
    <t>Draft KPI list for workshop validation</t>
  </si>
  <si>
    <t>To be finalised and agreed at Workshop 1</t>
  </si>
  <si>
    <t>MVP backlog + Industrialisation split</t>
  </si>
  <si>
    <t>Prioritised Jira backlog with story points</t>
  </si>
  <si>
    <t>Bain PM sign-off required; feeds Workshop 2.1</t>
  </si>
  <si>
    <t>Pilot cohort + success metrics</t>
  </si>
  <si>
    <t>Pilot plan; success criteria doc</t>
  </si>
  <si>
    <t>Finalise scoped roadmap (MVP vs. Industrialisation)</t>
  </si>
  <si>
    <t>Signed roadmap; delivery recommendation</t>
  </si>
  <si>
    <t>Bain Steering Committee sign-off</t>
  </si>
  <si>
    <t>Workshop</t>
  </si>
  <si>
    <t>WORKSHOP 1: Business Kick-off (2–3 days, TBD)</t>
  </si>
  <si>
    <t>Bain LT + SN LT</t>
  </si>
  <si>
    <t>On-site: Noah, Kasia, Sandeep, Siva | Remote: Michelle, Dean</t>
  </si>
  <si>
    <t>TRACK 2  ·  ARCHITECTURE AND DATA    AI Agent Architect, Lead Full Stack Engineer</t>
  </si>
  <si>
    <t>Track 2</t>
  </si>
  <si>
    <t>VCC integration discovery session — confirm MCP capability for programmatic agent calls, runtime vs. batch, and schema</t>
  </si>
  <si>
    <t>Joint — SN Architect + Jason Barnes (VCC) + Sandeep</t>
  </si>
  <si>
    <t>VCC integration contract / findings doc; schema agreed or escalated</t>
  </si>
  <si>
    <t>⚠ Biggest unresolved architecture risk — MCP-only constraint not yet confirmed for agent use; must not be treated as resolved until this session</t>
  </si>
  <si>
    <t>PRE-WORKSHOP: Document current-state architecture assumptions</t>
  </si>
  <si>
    <t>Architect</t>
  </si>
  <si>
    <t>Current-state architecture summary</t>
  </si>
  <si>
    <t>Input to Architecture Workshop 10–11 Aug</t>
  </si>
  <si>
    <t>PRE-WORKSHOP: Draft integration patterns and API candidates</t>
  </si>
  <si>
    <t>Draft integration approach doc</t>
  </si>
  <si>
    <t>Reviewed and agreed at Workshop 2.1</t>
  </si>
  <si>
    <t>PRE-WORKSHOP: Prepare architecture open items list</t>
  </si>
  <si>
    <t>Architecture open-items list for workshop</t>
  </si>
  <si>
    <t>Bain Architect (Sandeep) to review before Workshop 2.1</t>
  </si>
  <si>
    <t>Architecture blueprint (solution, data, integration, AI/agent)</t>
  </si>
  <si>
    <t>Architecture blueprint v1 (for Bain Architecture review)</t>
  </si>
  <si>
    <t>Bain Architecture written sign-off required before build</t>
  </si>
  <si>
    <t>Calculation data-package schema</t>
  </si>
  <si>
    <t>Agreed schema; ADR signed</t>
  </si>
  <si>
    <t>Unblocks contract-first parallel build</t>
  </si>
  <si>
    <t>Bounded agent contracts (all 7 agents)</t>
  </si>
  <si>
    <t>Agent contracts: inputs, outputs, failure modes, eval criteria</t>
  </si>
  <si>
    <t>Not in SN Gantt — required SOW deliverable</t>
  </si>
  <si>
    <t>Wave-1 data-source mapping</t>
  </si>
  <si>
    <t>Lead FS</t>
  </si>
  <si>
    <t>Data source map: scope, access owner, quality bar per source</t>
  </si>
  <si>
    <t>Architecture Decision Records (ADRs)</t>
  </si>
  <si>
    <t>ADR per load-bearing decision (schema, VCC, retrieval etc.)</t>
  </si>
  <si>
    <t>Living doc; updated throughout Discovery</t>
  </si>
  <si>
    <t>WORKSHOP 2.1: Architecture (2 days, TBD)</t>
  </si>
  <si>
    <t>Bain Architects + SN Tech Leads</t>
  </si>
  <si>
    <t>Target architecture agreed; guiding principles; integration patterns</t>
  </si>
  <si>
    <t>On-site: Sandeep, Siva | Bain Solution &amp; Data Architects, Dean, BCN Tech</t>
  </si>
  <si>
    <t>WORKSHOP 2.2: Tech Design (3 days, TBD)</t>
  </si>
  <si>
    <t>Bain Tech + SN Tech Leads</t>
  </si>
  <si>
    <t>App design agreed; data model; integration interfaces; backlog items</t>
  </si>
  <si>
    <t>TRACK 3  ·  EXPERIENCE / UX    Lead Full Stack Engineer + Bain Designer (Sam Taylor)</t>
  </si>
  <si>
    <t>Track 3</t>
  </si>
  <si>
    <t>UX discovery, wireframes and prototype (in progress)</t>
  </si>
  <si>
    <t>Bain Designer</t>
  </si>
  <si>
    <t>Prototype iterating based on user interviews</t>
  </si>
  <si>
    <t>User interviews ongoing — prototype not yet finalised</t>
  </si>
  <si>
    <t>PRE-WORKSHOP: Prepare prototype walkthrough for Workshop 1</t>
  </si>
  <si>
    <t>Prototype demo script; screen walkthrough</t>
  </si>
  <si>
    <t>To be presented at Business Kick-off Workshop 4–6 Aug</t>
  </si>
  <si>
    <t>Build UX design for MVP (from prototype)</t>
  </si>
  <si>
    <t>FE + Bain Designer</t>
  </si>
  <si>
    <t>Mid-to-high fidelity designs; Figma files</t>
  </si>
  <si>
    <t>Builds on existing prototype — no redesign needed</t>
  </si>
  <si>
    <t>Designer-to-FE handoff process agreed</t>
  </si>
  <si>
    <t>FE</t>
  </si>
  <si>
    <t>Handoff doc; agreed Figma-to-FE process</t>
  </si>
  <si>
    <t>Mandhir confirmed this is a Discovery deliverable</t>
  </si>
  <si>
    <t>TRACK 4  ·  QUALITY AND EVALUATION    Senior QA/Eval Engineer</t>
  </si>
  <si>
    <t>Track 4</t>
  </si>
  <si>
    <t>Test strategy</t>
  </si>
  <si>
    <t>QA/Eval</t>
  </si>
  <si>
    <t>Test strategy doc</t>
  </si>
  <si>
    <t>Test case preparation</t>
  </si>
  <si>
    <t>Test cases per MVP capability</t>
  </si>
  <si>
    <t>Retrieval-quality eval definitions</t>
  </si>
  <si>
    <t>Eval definitions doc (agreed with Bain KM)</t>
  </si>
  <si>
    <t>Bain KM input required</t>
  </si>
  <si>
    <t>Eval harness scaffold</t>
  </si>
  <si>
    <t>Retrieval eval harness + baseline metrics vs. Glean</t>
  </si>
  <si>
    <t>Canonical questions from Bain KM needed</t>
  </si>
  <si>
    <t>TRACK 5  ·  ENVIRONMENT AND STANDARDS    Lead Full Stack Engineer</t>
  </si>
  <si>
    <t>Track 5</t>
  </si>
  <si>
    <t>PRE-WORKSHOP: Git, Jira, Confluence, Figma, Miro setup confirmed</t>
  </si>
  <si>
    <t>Lead FS + Bain IT</t>
  </si>
  <si>
    <t>All collaboration tools live; access confirmed</t>
  </si>
  <si>
    <t>Pre-requisite per workshop plan — must be done before Workshop 1</t>
  </si>
  <si>
    <t>Dev environment setup (Bain-managed, Azure)</t>
  </si>
  <si>
    <t>Dev environment live; access confirmed</t>
  </si>
  <si>
    <t>Bain IT to confirm Azure provisioning</t>
  </si>
  <si>
    <t>CI/CD and engineering standards</t>
  </si>
  <si>
    <t>CI/CD pipeline; agreed coding standards doc</t>
  </si>
  <si>
    <t>TRACK 6  ·  SECURITY AND RISK    AI Agent Architect, Engagement Lead, AI-Native Functional Consultant</t>
  </si>
  <si>
    <t>Track 6</t>
  </si>
  <si>
    <t>VRA scope + data classification</t>
  </si>
  <si>
    <t>VRA scope doc; data classification framework</t>
  </si>
  <si>
    <t>Parallel to build — not back-loaded</t>
  </si>
  <si>
    <t>Risk / legal guardrail thresholds</t>
  </si>
  <si>
    <t>Guardrail thresholds doc (named-person, defamation, CoI)</t>
  </si>
  <si>
    <t>Bain Legal input required</t>
  </si>
  <si>
    <t>RAID Log (maintained throughout)</t>
  </si>
  <si>
    <t>RAID Log v1 — reviewed weekly with Bain Tech Lead</t>
  </si>
  <si>
    <t>Living doc; reviewed at weekly governance cadence</t>
  </si>
  <si>
    <t>Assumptions log</t>
  </si>
  <si>
    <t>All build assumptions documented and tracked</t>
  </si>
  <si>
    <t>SN EL to drive per Mandhir confirmation</t>
  </si>
  <si>
    <t>Decision Rights Matrix</t>
  </si>
  <si>
    <t>Decision Rights Matrix — agreed by both parties</t>
  </si>
  <si>
    <t>Resource + team recommendation for MVP Build</t>
  </si>
  <si>
    <t>Team size, seniority, ramp-up plan</t>
  </si>
  <si>
    <t>Required for Discovery completion gate</t>
  </si>
  <si>
    <t>SOW CONTRACTUAL GATES  —  per signed SOW, not optional</t>
  </si>
  <si>
    <t>Contractual</t>
  </si>
  <si>
    <t>PoC list agreed in writing (Bain + SN)</t>
  </si>
  <si>
    <t>Joint</t>
  </si>
  <si>
    <t>Signed PoC list</t>
  </si>
  <si>
    <t>⚠ SOW hard deadline: end of Week 2</t>
  </si>
  <si>
    <t>PoC findings documented</t>
  </si>
  <si>
    <t>SN EL</t>
  </si>
  <si>
    <t>PoC findings report (findings, risks, recommended approach)</t>
  </si>
  <si>
    <t>⚠ SOW hard deadline: end of Week 3 — confirm with Sandeep</t>
  </si>
  <si>
    <t>EXIT GATE  ·  Discovery sign-off + CoE gate  —  all items required in writing before build commences</t>
  </si>
  <si>
    <t xml:space="preserve">    ☐  MVP scope agreed in writing — Bain PM + Bain Tech Lead</t>
  </si>
  <si>
    <t xml:space="preserve">    ☐  Product backlog estimated with story points — accepted by Bain PM</t>
  </si>
  <si>
    <t xml:space="preserve">    ☐  Solution architecture approved — Bain Architecture (written, within 5 business days)</t>
  </si>
  <si>
    <t xml:space="preserve">    ☐  Technical risks documented in RAID Log — accepted by Bain Tech Lead</t>
  </si>
  <si>
    <t xml:space="preserve">    ☐  Implementation approach agreed — Bain PM + Bain Tech Lead</t>
  </si>
  <si>
    <t xml:space="preserve">    ☐  Delivery Recommendation accepted — Bain Steering Committee</t>
  </si>
  <si>
    <t>LEGEND</t>
  </si>
  <si>
    <t>✓  Completed — no action required</t>
  </si>
  <si>
    <t>Active track activity (SN-owned, in progress)</t>
  </si>
  <si>
    <t>Pre-workshop preparation activity</t>
  </si>
  <si>
    <t>Workshop milestone</t>
  </si>
  <si>
    <t>Bain input required — delays here delay Discovery</t>
  </si>
  <si>
    <t>SOW contractual deadline (non-negotiable)</t>
  </si>
  <si>
    <t>Discovery exit gate condition</t>
  </si>
  <si>
    <t>Agreed: objectives, KPIs, MVP scope, governance, risks, measures of success</t>
  </si>
  <si>
    <t>On-site: Sandeep, Siva | Dean + BCN 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</si>
</sst>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"/>
  </numFmts>
  <fonts count="14" x14ac:knownFonts="1">
    <font>
      <sz val="11"/>
      <color theme="1"/>
      <name val="Calibri"/>
      <family val="2"/>
      <charset val="1"/>
    </font>
    <font>
      <b/>
      <sz val="15"/>
      <color rgb="FFFFFFFF"/>
      <name val="Arial"/>
      <charset val="1"/>
    </font>
    <font>
      <i/>
      <sz val="8"/>
      <color rgb="FF999999"/>
      <name val="Arial"/>
      <charset val="1"/>
    </font>
    <font>
      <b/>
      <sz val="8"/>
      <color rgb="FFFFFFFF"/>
      <name val="Arial"/>
      <charset val="1"/>
    </font>
    <font>
      <sz val="7"/>
      <color rgb="FFFFFFFF"/>
      <name val="Arial"/>
      <charset val="1"/>
    </font>
    <font>
      <strike/>
      <sz val="8"/>
      <color rgb="FF888888"/>
      <name val="Arial"/>
      <charset val="1"/>
    </font>
    <font>
      <strike/>
      <sz val="8"/>
      <color rgb="FF555555"/>
      <name val="Arial"/>
      <charset val="1"/>
    </font>
    <font>
      <sz val="8"/>
      <color rgb="FF1A1A1A"/>
      <name val="Arial"/>
      <charset val="1"/>
    </font>
    <font>
      <sz val="8"/>
      <color rgb="FF555555"/>
      <name val="Arial"/>
      <charset val="1"/>
    </font>
    <font>
      <sz val="8"/>
      <color rgb="FF333333"/>
      <name val="Arial"/>
      <charset val="1"/>
    </font>
    <font>
      <b/>
      <sz val="8"/>
      <color rgb="FF1A1A1A"/>
      <name val="Arial"/>
      <charset val="1"/>
    </font>
    <font>
      <sz val="8"/>
      <color rgb="FF1F6B3A"/>
      <name val="Arial"/>
      <charset val="1"/>
    </font>
    <font>
      <sz val="8"/>
      <name val="Arial"/>
    </font>
    <font>
      <sz val="9"/>
      <color indexed="81"/>
      <name val="Tahoma"/>
      <family val="2"/>
    </font>
  </fonts>
  <fills count="18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2D2D2D"/>
        <bgColor rgb="FF333333"/>
      </patternFill>
    </fill>
    <fill>
      <patternFill patternType="solid">
        <fgColor rgb="FF4A4A4A"/>
        <bgColor rgb="FF444444"/>
      </patternFill>
    </fill>
    <fill>
      <patternFill patternType="solid">
        <fgColor rgb="FF1A3A5C"/>
        <bgColor rgb="FF333333"/>
      </patternFill>
    </fill>
    <fill>
      <patternFill patternType="solid">
        <fgColor rgb="FF444444"/>
        <bgColor rgb="FF4A4A4A"/>
      </patternFill>
    </fill>
    <fill>
      <patternFill patternType="solid">
        <fgColor rgb="FFFFFFFF"/>
        <bgColor rgb="FFFFFFCC"/>
      </patternFill>
    </fill>
    <fill>
      <patternFill patternType="solid">
        <fgColor rgb="FF2E7D32"/>
        <bgColor rgb="FF1F6B3A"/>
      </patternFill>
    </fill>
    <fill>
      <patternFill patternType="solid">
        <fgColor rgb="FFCC0000"/>
        <bgColor rgb="FF800000"/>
      </patternFill>
    </fill>
    <fill>
      <patternFill patternType="solid">
        <fgColor rgb="FFFFC300"/>
        <bgColor rgb="FFF5C518"/>
      </patternFill>
    </fill>
    <fill>
      <patternFill patternType="solid">
        <fgColor rgb="FFF5C518"/>
        <bgColor rgb="FFFFC300"/>
      </patternFill>
    </fill>
    <fill>
      <patternFill patternType="solid">
        <fgColor rgb="FF888888"/>
        <bgColor rgb="FF999999"/>
      </patternFill>
    </fill>
    <fill>
      <patternFill patternType="solid">
        <fgColor rgb="FF4A90D9"/>
        <bgColor rgb="FF888888"/>
      </patternFill>
    </fill>
    <fill>
      <patternFill patternType="solid">
        <fgColor rgb="FFD6EFE0"/>
        <bgColor rgb="FFCCFFFF"/>
      </patternFill>
    </fill>
    <fill>
      <patternFill patternType="solid">
        <fgColor rgb="FF1F6B3A"/>
        <bgColor rgb="FF2E7D32"/>
      </patternFill>
    </fill>
    <fill>
      <patternFill patternType="solid">
        <fgColor rgb="FF2D2D2D"/>
      </patternFill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medium">
        <color rgb="FFC00000"/>
      </left>
      <right style="medium">
        <color rgb="FFC00000"/>
      </right>
      <top/>
      <bottom/>
      <diagonal/>
    </border>
    <border>
      <left/>
      <right style="thin">
        <color rgb="FF555555"/>
      </right>
      <top style="thin">
        <color rgb="FF555555"/>
      </top>
      <bottom style="thin">
        <color rgb="FF555555"/>
      </bottom>
      <diagonal/>
    </border>
    <border>
      <left style="medium">
        <color rgb="FFC00000"/>
      </left>
      <right style="medium">
        <color rgb="FFC00000"/>
      </right>
      <top style="thin">
        <color rgb="FF555555"/>
      </top>
      <bottom style="thin">
        <color rgb="FF555555"/>
      </bottom>
      <diagonal/>
    </border>
    <border>
      <left style="medium">
        <color rgb="FFC00000"/>
      </left>
      <right style="medium">
        <color rgb="FFC00000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164" fontId="4" fillId="6" borderId="2" xfId="0" applyNumberFormat="1" applyFont="1" applyFill="1" applyBorder="1" applyAlignment="1">
      <alignment horizontal="center" vertical="center"/>
    </xf>
    <xf numFmtId="0" fontId="0" fillId="0" borderId="4" xfId="0" applyBorder="1"/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6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left" vertical="center"/>
    </xf>
    <xf numFmtId="0" fontId="0" fillId="9" borderId="1" xfId="0" applyFill="1" applyBorder="1"/>
    <xf numFmtId="0" fontId="8" fillId="7" borderId="1" xfId="0" applyFont="1" applyFill="1" applyBorder="1" applyAlignment="1">
      <alignment horizontal="left" vertical="center" wrapText="1"/>
    </xf>
    <xf numFmtId="0" fontId="0" fillId="10" borderId="1" xfId="0" applyFill="1" applyBorder="1"/>
    <xf numFmtId="0" fontId="0" fillId="11" borderId="1" xfId="0" applyFill="1" applyBorder="1"/>
    <xf numFmtId="0" fontId="10" fillId="7" borderId="1" xfId="0" applyFont="1" applyFill="1" applyBorder="1" applyAlignment="1">
      <alignment horizontal="left" vertical="center" wrapText="1"/>
    </xf>
    <xf numFmtId="0" fontId="0" fillId="12" borderId="1" xfId="0" applyFill="1" applyBorder="1"/>
    <xf numFmtId="0" fontId="0" fillId="13" borderId="1" xfId="0" applyFill="1" applyBorder="1"/>
    <xf numFmtId="0" fontId="0" fillId="16" borderId="0" xfId="0" applyFill="1"/>
    <xf numFmtId="0" fontId="12" fillId="17" borderId="1" xfId="0" applyFont="1" applyFill="1" applyBorder="1" applyAlignment="1">
      <alignment horizontal="center" vertical="center"/>
    </xf>
    <xf numFmtId="0" fontId="0" fillId="0" borderId="1" xfId="0" applyFill="1" applyBorder="1"/>
    <xf numFmtId="0" fontId="0" fillId="0" borderId="0" xfId="0" applyFill="1"/>
    <xf numFmtId="0" fontId="3" fillId="3" borderId="3" xfId="0" applyFont="1" applyFill="1" applyBorder="1" applyAlignment="1">
      <alignment horizontal="left" vertical="center"/>
    </xf>
    <xf numFmtId="0" fontId="0" fillId="0" borderId="4" xfId="0" applyBorder="1"/>
    <xf numFmtId="0" fontId="11" fillId="14" borderId="5" xfId="0" applyFont="1" applyFill="1" applyBorder="1" applyAlignment="1">
      <alignment horizontal="left" vertical="center"/>
    </xf>
    <xf numFmtId="0" fontId="0" fillId="0" borderId="6" xfId="0" applyBorder="1"/>
    <xf numFmtId="0" fontId="0" fillId="15" borderId="3" xfId="0" applyFill="1" applyBorder="1"/>
    <xf numFmtId="0" fontId="9" fillId="7" borderId="3" xfId="0" applyFont="1" applyFill="1" applyBorder="1" applyAlignment="1">
      <alignment horizontal="left" vertical="center"/>
    </xf>
    <xf numFmtId="0" fontId="0" fillId="13" borderId="3" xfId="0" applyFill="1" applyBorder="1"/>
    <xf numFmtId="0" fontId="0" fillId="9" borderId="3" xfId="0" applyFill="1" applyBorder="1"/>
    <xf numFmtId="0" fontId="0" fillId="8" borderId="3" xfId="0" applyFill="1" applyBorder="1"/>
    <xf numFmtId="0" fontId="0" fillId="11" borderId="3" xfId="0" applyFill="1" applyBorder="1"/>
    <xf numFmtId="0" fontId="0" fillId="12" borderId="3" xfId="0" applyFill="1" applyBorder="1"/>
    <xf numFmtId="0" fontId="0" fillId="0" borderId="0" xfId="0" applyBorder="1"/>
    <xf numFmtId="0" fontId="3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4" xfId="0" applyFill="1" applyBorder="1"/>
    <xf numFmtId="0" fontId="12" fillId="0" borderId="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0" fillId="7" borderId="9" xfId="0" applyFill="1" applyBorder="1"/>
    <xf numFmtId="0" fontId="0" fillId="0" borderId="0" xfId="0" applyBorder="1" applyAlignment="1"/>
    <xf numFmtId="0" fontId="0" fillId="8" borderId="9" xfId="0" applyFill="1" applyBorder="1"/>
    <xf numFmtId="0" fontId="0" fillId="10" borderId="9" xfId="0" applyFill="1" applyBorder="1"/>
    <xf numFmtId="0" fontId="0" fillId="11" borderId="9" xfId="0" applyFill="1" applyBorder="1"/>
    <xf numFmtId="0" fontId="3" fillId="4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 wrapText="1"/>
    </xf>
    <xf numFmtId="0" fontId="9" fillId="7" borderId="3" xfId="0" applyFont="1" applyFill="1" applyBorder="1" applyAlignment="1">
      <alignment horizontal="left" vertical="center" wrapText="1"/>
    </xf>
    <xf numFmtId="0" fontId="7" fillId="7" borderId="3" xfId="0" applyFont="1" applyFill="1" applyBorder="1" applyAlignment="1">
      <alignment horizontal="left" vertical="center" wrapText="1"/>
    </xf>
    <xf numFmtId="164" fontId="4" fillId="6" borderId="11" xfId="0" applyNumberFormat="1" applyFont="1" applyFill="1" applyBorder="1" applyAlignment="1">
      <alignment horizontal="center" vertical="center"/>
    </xf>
    <xf numFmtId="0" fontId="0" fillId="12" borderId="9" xfId="0" applyFill="1" applyBorder="1"/>
    <xf numFmtId="0" fontId="0" fillId="0" borderId="10" xfId="0" applyBorder="1"/>
    <xf numFmtId="164" fontId="4" fillId="6" borderId="12" xfId="0" applyNumberFormat="1" applyFont="1" applyFill="1" applyBorder="1" applyAlignment="1">
      <alignment horizontal="center" vertical="center"/>
    </xf>
    <xf numFmtId="0" fontId="0" fillId="8" borderId="13" xfId="0" applyFill="1" applyBorder="1"/>
    <xf numFmtId="0" fontId="0" fillId="7" borderId="13" xfId="0" applyFill="1" applyBorder="1"/>
    <xf numFmtId="0" fontId="0" fillId="0" borderId="10" xfId="0" applyBorder="1" applyAlignment="1"/>
    <xf numFmtId="0" fontId="0" fillId="10" borderId="13" xfId="0" applyFill="1" applyBorder="1"/>
    <xf numFmtId="0" fontId="0" fillId="11" borderId="13" xfId="0" applyFill="1" applyBorder="1"/>
    <xf numFmtId="0" fontId="0" fillId="12" borderId="13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1F6B3A"/>
      <rgbColor rgb="FF000080"/>
      <rgbColor rgb="FF808000"/>
      <rgbColor rgb="FF800080"/>
      <rgbColor rgb="FF008080"/>
      <rgbColor rgb="FFCCCCCC"/>
      <rgbColor rgb="FF888888"/>
      <rgbColor rgb="FFAAAAAA"/>
      <rgbColor rgb="FF4A4A4A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EFE0"/>
      <rgbColor rgb="FFFFFF99"/>
      <rgbColor rgb="FF99CCFF"/>
      <rgbColor rgb="FFFF99CC"/>
      <rgbColor rgb="FFCC99FF"/>
      <rgbColor rgb="FFFFCC99"/>
      <rgbColor rgb="FF4A90D9"/>
      <rgbColor rgb="FF33CCCC"/>
      <rgbColor rgb="FF99CC00"/>
      <rgbColor rgb="FFFFC300"/>
      <rgbColor rgb="FFF5C518"/>
      <rgbColor rgb="FFFF6600"/>
      <rgbColor rgb="FF555555"/>
      <rgbColor rgb="FF999999"/>
      <rgbColor rgb="FF1A3A5C"/>
      <rgbColor rgb="FF2E7D32"/>
      <rgbColor rgb="FF1A1A1A"/>
      <rgbColor rgb="FF2D2D2D"/>
      <rgbColor rgb="FF993300"/>
      <rgbColor rgb="FF993366"/>
      <rgbColor rgb="FF444444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lood, Michelle" id="{240EA59F-521A-4024-A205-49B3165DC270}" userId="S::Michelle.Flood@Bain.com::5fab824c-3026-418d-b68b-83a08cf983d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8" dT="2026-07-27T06:50:49.75" personId="{240EA59F-521A-4024-A205-49B3165DC270}" id="{E36958BF-6ED8-4887-91D9-17B63ADB85FE}">
    <text>This needs to be kicked off ASAP</text>
  </threadedComment>
  <threadedComment ref="D18" dT="2026-07-27T06:51:14.44" personId="{240EA59F-521A-4024-A205-49B3165DC270}" id="{61D3D158-06E3-4C36-A310-C71F649D7B0E}">
    <text>Engagement Lead + Functional Consultant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"/>
  <sheetViews>
    <sheetView tabSelected="1" zoomScale="130" zoomScaleNormal="130" workbookViewId="0">
      <pane ySplit="5" topLeftCell="A6" activePane="bottomLeft" state="frozen"/>
      <selection pane="bottomLeft" activeCell="D21" sqref="D21"/>
    </sheetView>
  </sheetViews>
  <sheetFormatPr defaultColWidth="8.6640625" defaultRowHeight="14.4" x14ac:dyDescent="0.3"/>
  <cols>
    <col min="1" max="1" width="4" customWidth="1"/>
    <col min="2" max="2" width="22" customWidth="1"/>
    <col min="3" max="3" width="34" customWidth="1"/>
    <col min="4" max="4" width="23.6640625" customWidth="1"/>
    <col min="5" max="5" width="28" customWidth="1"/>
    <col min="6" max="6" width="5" style="55" bestFit="1" customWidth="1"/>
    <col min="7" max="21" width="5" bestFit="1" customWidth="1"/>
    <col min="22" max="22" width="4.5546875" customWidth="1"/>
    <col min="23" max="25" width="4.21875" bestFit="1" customWidth="1"/>
    <col min="26" max="26" width="22.44140625" customWidth="1"/>
  </cols>
  <sheetData>
    <row r="1" spans="1:27" ht="36" customHeight="1" x14ac:dyDescent="0.3">
      <c r="A1" s="37" t="s">
        <v>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</row>
    <row r="2" spans="1:27" ht="18" customHeight="1" x14ac:dyDescent="0.3">
      <c r="A2" s="38" t="s">
        <v>1</v>
      </c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S2" s="38"/>
      <c r="T2" s="38"/>
      <c r="U2" s="38"/>
      <c r="V2" s="38"/>
      <c r="W2" s="38"/>
    </row>
    <row r="3" spans="1:27" ht="6" customHeight="1" x14ac:dyDescent="0.3"/>
    <row r="4" spans="1:27" ht="13.5" customHeight="1" x14ac:dyDescent="0.3">
      <c r="A4" s="35"/>
      <c r="B4" s="35" t="s">
        <v>2</v>
      </c>
      <c r="C4" s="35" t="s">
        <v>3</v>
      </c>
      <c r="D4" s="35" t="s">
        <v>4</v>
      </c>
      <c r="E4" s="49" t="s">
        <v>5</v>
      </c>
      <c r="F4" s="39" t="s">
        <v>6</v>
      </c>
      <c r="G4" s="39"/>
      <c r="H4" s="39"/>
      <c r="I4" s="39"/>
      <c r="J4" s="39"/>
      <c r="K4" s="39" t="s">
        <v>7</v>
      </c>
      <c r="L4" s="39"/>
      <c r="M4" s="39"/>
      <c r="N4" s="39"/>
      <c r="O4" s="39"/>
      <c r="P4" s="39" t="s">
        <v>8</v>
      </c>
      <c r="Q4" s="39"/>
      <c r="R4" s="39"/>
      <c r="S4" s="39"/>
      <c r="T4" s="39"/>
      <c r="U4" s="39" t="s">
        <v>9</v>
      </c>
      <c r="V4" s="39"/>
      <c r="W4" s="39"/>
      <c r="X4" s="39"/>
      <c r="Y4" s="39"/>
      <c r="Z4" s="35" t="s">
        <v>10</v>
      </c>
      <c r="AA4" s="35" t="s">
        <v>11</v>
      </c>
    </row>
    <row r="5" spans="1:27" ht="13.5" customHeight="1" x14ac:dyDescent="0.3">
      <c r="A5" s="35"/>
      <c r="B5" s="35"/>
      <c r="C5" s="35"/>
      <c r="D5" s="35"/>
      <c r="E5" s="49"/>
      <c r="F5" s="56">
        <v>46232</v>
      </c>
      <c r="G5" s="53">
        <f>WORKDAY($F$5,1)</f>
        <v>46233</v>
      </c>
      <c r="H5" s="1">
        <f>WORKDAY($F$5,2)</f>
        <v>46234</v>
      </c>
      <c r="I5" s="1">
        <f>WORKDAY($F$5,3)</f>
        <v>46237</v>
      </c>
      <c r="J5" s="1">
        <f>WORKDAY($F$5,4)</f>
        <v>46238</v>
      </c>
      <c r="K5" s="1">
        <f>WORKDAY($F$5,5)</f>
        <v>46239</v>
      </c>
      <c r="L5" s="1">
        <f>WORKDAY($F$5,6)</f>
        <v>46240</v>
      </c>
      <c r="M5" s="1">
        <f>WORKDAY($F$5,7)</f>
        <v>46241</v>
      </c>
      <c r="N5" s="1">
        <f>WORKDAY($F$5,8)</f>
        <v>46244</v>
      </c>
      <c r="O5" s="1">
        <f>WORKDAY($F$5,9)</f>
        <v>46245</v>
      </c>
      <c r="P5" s="1">
        <f>WORKDAY($F$5,10)</f>
        <v>46246</v>
      </c>
      <c r="Q5" s="1">
        <f>WORKDAY($F$5,11)</f>
        <v>46247</v>
      </c>
      <c r="R5" s="1">
        <f>WORKDAY($F$5,12)</f>
        <v>46248</v>
      </c>
      <c r="S5" s="1">
        <f>WORKDAY($F$5,13)</f>
        <v>46251</v>
      </c>
      <c r="T5" s="1">
        <f>WORKDAY($F$5,14)</f>
        <v>46252</v>
      </c>
      <c r="U5" s="1">
        <f>WORKDAY($F$5,15)</f>
        <v>46253</v>
      </c>
      <c r="V5" s="1">
        <f>WORKDAY($F$5,16)</f>
        <v>46254</v>
      </c>
      <c r="W5" s="1">
        <f>WORKDAY($F$5,17)</f>
        <v>46255</v>
      </c>
      <c r="X5" s="1">
        <f>WORKDAY($F$5,18)</f>
        <v>46258</v>
      </c>
      <c r="Y5" s="1">
        <f>WORKDAY($F$5,19)</f>
        <v>46259</v>
      </c>
      <c r="Z5" s="36"/>
      <c r="AA5" s="36"/>
    </row>
    <row r="6" spans="1:27" ht="15.75" customHeight="1" x14ac:dyDescent="0.3">
      <c r="A6" s="42" t="s">
        <v>12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19"/>
      <c r="Y6" s="19"/>
      <c r="Z6" s="19"/>
      <c r="AA6" s="19"/>
    </row>
    <row r="7" spans="1:27" ht="18" customHeight="1" x14ac:dyDescent="0.3">
      <c r="A7" s="3"/>
      <c r="B7" s="4" t="s">
        <v>13</v>
      </c>
      <c r="C7" s="5" t="s">
        <v>14</v>
      </c>
      <c r="D7" s="4" t="s">
        <v>15</v>
      </c>
      <c r="E7" s="50" t="s">
        <v>16</v>
      </c>
      <c r="F7" s="57"/>
      <c r="G7" s="4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7" t="s">
        <v>17</v>
      </c>
      <c r="AA7" s="6"/>
    </row>
    <row r="8" spans="1:27" ht="18" customHeight="1" x14ac:dyDescent="0.3">
      <c r="A8" s="8"/>
      <c r="B8" s="9" t="s">
        <v>13</v>
      </c>
      <c r="C8" s="10" t="s">
        <v>18</v>
      </c>
      <c r="D8" s="11" t="s">
        <v>19</v>
      </c>
      <c r="E8" s="51" t="s">
        <v>20</v>
      </c>
      <c r="F8" s="58"/>
      <c r="G8" s="44"/>
      <c r="H8" s="12"/>
      <c r="I8" s="12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13" t="s">
        <v>21</v>
      </c>
      <c r="AA8" s="6"/>
    </row>
    <row r="9" spans="1:27" ht="18" customHeight="1" x14ac:dyDescent="0.3">
      <c r="A9" s="8"/>
      <c r="B9" s="9" t="s">
        <v>13</v>
      </c>
      <c r="C9" s="10" t="s">
        <v>22</v>
      </c>
      <c r="D9" s="11" t="s">
        <v>23</v>
      </c>
      <c r="E9" s="51" t="s">
        <v>24</v>
      </c>
      <c r="F9" s="58"/>
      <c r="G9" s="44"/>
      <c r="H9" s="12"/>
      <c r="I9" s="12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13" t="s">
        <v>25</v>
      </c>
      <c r="AA9" s="6"/>
    </row>
    <row r="10" spans="1:27" ht="18" customHeight="1" x14ac:dyDescent="0.3">
      <c r="A10" s="8"/>
      <c r="B10" s="9" t="s">
        <v>13</v>
      </c>
      <c r="C10" s="10" t="s">
        <v>26</v>
      </c>
      <c r="D10" s="11" t="s">
        <v>27</v>
      </c>
      <c r="E10" s="51" t="s">
        <v>28</v>
      </c>
      <c r="F10" s="58"/>
      <c r="G10" s="44"/>
      <c r="H10" s="12"/>
      <c r="I10" s="12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13" t="s">
        <v>29</v>
      </c>
      <c r="AA10" s="6"/>
    </row>
    <row r="11" spans="1:27" ht="18" customHeight="1" x14ac:dyDescent="0.3">
      <c r="A11" s="8"/>
      <c r="B11" s="9" t="s">
        <v>13</v>
      </c>
      <c r="C11" s="10" t="s">
        <v>30</v>
      </c>
      <c r="D11" s="11" t="s">
        <v>31</v>
      </c>
      <c r="E11" s="51" t="s">
        <v>32</v>
      </c>
      <c r="F11" s="58"/>
      <c r="G11" s="44"/>
      <c r="H11" s="12"/>
      <c r="I11" s="12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13" t="s">
        <v>33</v>
      </c>
      <c r="AA11" s="6"/>
    </row>
    <row r="12" spans="1:27" ht="20.399999999999999" x14ac:dyDescent="0.3">
      <c r="A12" s="8"/>
      <c r="B12" s="9" t="s">
        <v>13</v>
      </c>
      <c r="C12" s="10" t="s">
        <v>34</v>
      </c>
      <c r="D12" s="11" t="s">
        <v>35</v>
      </c>
      <c r="E12" s="51" t="s">
        <v>36</v>
      </c>
      <c r="F12" s="58"/>
      <c r="G12" s="44"/>
      <c r="H12" s="6"/>
      <c r="I12" s="6"/>
      <c r="J12" s="6"/>
      <c r="K12" s="6"/>
      <c r="L12" s="6"/>
      <c r="M12" s="6"/>
      <c r="N12" s="6"/>
      <c r="O12" s="6"/>
      <c r="P12" s="12"/>
      <c r="Q12" s="12"/>
      <c r="R12" s="6"/>
      <c r="S12" s="6"/>
      <c r="T12" s="6"/>
      <c r="U12" s="6"/>
      <c r="V12" s="6"/>
      <c r="W12" s="6"/>
      <c r="X12" s="6"/>
      <c r="Y12" s="6"/>
      <c r="Z12" s="13" t="s">
        <v>37</v>
      </c>
      <c r="AA12" s="6"/>
    </row>
    <row r="13" spans="1:27" ht="15.75" customHeight="1" x14ac:dyDescent="0.3">
      <c r="A13" s="45"/>
      <c r="B13" s="45"/>
      <c r="C13" s="45"/>
      <c r="D13" s="45"/>
      <c r="E13" s="45"/>
      <c r="F13" s="59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Y13" s="21"/>
    </row>
    <row r="14" spans="1:27" ht="15.75" customHeight="1" x14ac:dyDescent="0.3">
      <c r="A14" s="23" t="s">
        <v>38</v>
      </c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19"/>
      <c r="Y14" s="19"/>
      <c r="Z14" s="19"/>
      <c r="AA14" s="19"/>
    </row>
    <row r="15" spans="1:27" ht="20.25" customHeight="1" x14ac:dyDescent="0.3">
      <c r="A15" s="8"/>
      <c r="B15" s="9" t="s">
        <v>39</v>
      </c>
      <c r="C15" s="10" t="s">
        <v>40</v>
      </c>
      <c r="D15" s="11" t="s">
        <v>41</v>
      </c>
      <c r="E15" s="51" t="s">
        <v>42</v>
      </c>
      <c r="F15" s="60"/>
      <c r="G15" s="44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13" t="s">
        <v>43</v>
      </c>
      <c r="AA15" s="6"/>
    </row>
    <row r="16" spans="1:27" ht="20.25" customHeight="1" x14ac:dyDescent="0.3">
      <c r="A16" s="8"/>
      <c r="B16" s="9" t="s">
        <v>39</v>
      </c>
      <c r="C16" s="10" t="s">
        <v>44</v>
      </c>
      <c r="D16" s="11" t="s">
        <v>45</v>
      </c>
      <c r="E16" s="51" t="s">
        <v>46</v>
      </c>
      <c r="F16" s="60"/>
      <c r="G16" s="47"/>
      <c r="H16" s="14"/>
      <c r="I16" s="14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13" t="s">
        <v>47</v>
      </c>
      <c r="AA16" s="6"/>
    </row>
    <row r="17" spans="1:27" ht="27.6" customHeight="1" x14ac:dyDescent="0.3">
      <c r="A17" s="9"/>
      <c r="B17" s="9" t="s">
        <v>39</v>
      </c>
      <c r="C17" s="10" t="s">
        <v>48</v>
      </c>
      <c r="D17" s="11" t="s">
        <v>49</v>
      </c>
      <c r="E17" s="51" t="s">
        <v>50</v>
      </c>
      <c r="F17" s="60"/>
      <c r="G17" s="47"/>
      <c r="H17" s="14"/>
      <c r="I17" s="14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13" t="s">
        <v>51</v>
      </c>
      <c r="AA17" s="6"/>
    </row>
    <row r="18" spans="1:27" ht="18" customHeight="1" x14ac:dyDescent="0.3">
      <c r="A18" s="8"/>
      <c r="B18" s="9" t="s">
        <v>39</v>
      </c>
      <c r="C18" s="10" t="s">
        <v>52</v>
      </c>
      <c r="D18" s="11" t="s">
        <v>53</v>
      </c>
      <c r="E18" s="51" t="s">
        <v>54</v>
      </c>
      <c r="F18" s="61"/>
      <c r="G18" s="48"/>
      <c r="H18" s="15"/>
      <c r="I18" s="15"/>
      <c r="J18" s="15"/>
      <c r="K18" s="15"/>
      <c r="L18" s="15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13"/>
      <c r="AA18" s="6"/>
    </row>
    <row r="19" spans="1:27" ht="18" customHeight="1" x14ac:dyDescent="0.3">
      <c r="A19" s="8"/>
      <c r="B19" s="9" t="s">
        <v>39</v>
      </c>
      <c r="C19" s="10" t="s">
        <v>55</v>
      </c>
      <c r="D19" s="11" t="s">
        <v>56</v>
      </c>
      <c r="E19" s="51" t="s">
        <v>57</v>
      </c>
      <c r="F19" s="61"/>
      <c r="G19" s="48"/>
      <c r="H19" s="15"/>
      <c r="I19" s="15"/>
      <c r="J19" s="15"/>
      <c r="K19" s="15"/>
      <c r="L19" s="15"/>
      <c r="M19" s="15"/>
      <c r="N19" s="15"/>
      <c r="O19" s="15"/>
      <c r="P19" s="15"/>
      <c r="Q19" s="6"/>
      <c r="R19" s="6"/>
      <c r="S19" s="6"/>
      <c r="T19" s="6"/>
      <c r="U19" s="6"/>
      <c r="V19" s="6"/>
      <c r="W19" s="6"/>
      <c r="X19" s="6"/>
      <c r="Y19" s="6"/>
      <c r="Z19" s="13" t="s">
        <v>58</v>
      </c>
      <c r="AA19" s="6"/>
    </row>
    <row r="20" spans="1:27" ht="18" customHeight="1" x14ac:dyDescent="0.3">
      <c r="A20" s="8"/>
      <c r="B20" s="9" t="s">
        <v>39</v>
      </c>
      <c r="C20" s="16" t="s">
        <v>59</v>
      </c>
      <c r="D20" s="11" t="s">
        <v>60</v>
      </c>
      <c r="E20" s="51" t="s">
        <v>61</v>
      </c>
      <c r="F20" s="58"/>
      <c r="G20" s="44"/>
      <c r="H20" s="6"/>
      <c r="I20" s="6"/>
      <c r="J20" s="6"/>
      <c r="K20" s="17"/>
      <c r="L20" s="17"/>
      <c r="M20" s="17"/>
      <c r="N20" s="17"/>
      <c r="O20" s="17"/>
      <c r="P20" s="17"/>
      <c r="Q20" s="17"/>
      <c r="R20" s="6"/>
      <c r="S20" s="6"/>
      <c r="T20" s="6"/>
      <c r="U20" s="6"/>
      <c r="V20" s="6"/>
      <c r="W20" s="6"/>
      <c r="X20" s="6"/>
      <c r="Y20" s="6"/>
      <c r="Z20" s="13" t="s">
        <v>62</v>
      </c>
      <c r="AA20" s="6"/>
    </row>
    <row r="21" spans="1:27" ht="18" customHeight="1" x14ac:dyDescent="0.3">
      <c r="A21" s="8"/>
      <c r="B21" s="9" t="s">
        <v>39</v>
      </c>
      <c r="C21" s="16" t="s">
        <v>63</v>
      </c>
      <c r="D21" s="11" t="s">
        <v>64</v>
      </c>
      <c r="E21" s="51" t="s">
        <v>65</v>
      </c>
      <c r="F21" s="58"/>
      <c r="G21" s="44"/>
      <c r="H21" s="6"/>
      <c r="I21" s="6"/>
      <c r="J21" s="6"/>
      <c r="K21" s="6"/>
      <c r="L21" s="6"/>
      <c r="M21" s="6"/>
      <c r="N21" s="6"/>
      <c r="O21" s="6"/>
      <c r="P21" s="17"/>
      <c r="Q21" s="17"/>
      <c r="R21" s="17"/>
      <c r="S21" s="17"/>
      <c r="T21" s="6"/>
      <c r="U21" s="6"/>
      <c r="V21" s="6"/>
      <c r="W21" s="6"/>
      <c r="X21" s="6"/>
      <c r="Y21" s="6"/>
      <c r="Z21" s="13" t="s">
        <v>66</v>
      </c>
      <c r="AA21" s="6"/>
    </row>
    <row r="22" spans="1:27" ht="20.399999999999999" x14ac:dyDescent="0.3">
      <c r="A22" s="8"/>
      <c r="B22" s="9" t="s">
        <v>39</v>
      </c>
      <c r="C22" s="16" t="s">
        <v>67</v>
      </c>
      <c r="D22" s="11" t="s">
        <v>60</v>
      </c>
      <c r="E22" s="51" t="s">
        <v>68</v>
      </c>
      <c r="F22" s="58"/>
      <c r="G22" s="44"/>
      <c r="H22" s="6"/>
      <c r="I22" s="6"/>
      <c r="J22" s="6"/>
      <c r="K22" s="17"/>
      <c r="L22" s="17"/>
      <c r="M22" s="17"/>
      <c r="N22" s="17"/>
      <c r="O22" s="17"/>
      <c r="P22" s="17"/>
      <c r="Q22" s="17"/>
      <c r="R22" s="6"/>
      <c r="S22" s="6"/>
      <c r="T22" s="6"/>
      <c r="U22" s="6"/>
      <c r="V22" s="6"/>
      <c r="W22" s="6"/>
      <c r="X22" s="6"/>
      <c r="Y22" s="6"/>
      <c r="Z22" s="13" t="s">
        <v>69</v>
      </c>
      <c r="AA22" s="6"/>
    </row>
    <row r="23" spans="1:27" ht="18" customHeight="1" x14ac:dyDescent="0.3">
      <c r="A23" s="8"/>
      <c r="B23" s="9" t="s">
        <v>39</v>
      </c>
      <c r="C23" s="10" t="s">
        <v>70</v>
      </c>
      <c r="D23" s="11" t="s">
        <v>60</v>
      </c>
      <c r="E23" s="51" t="s">
        <v>71</v>
      </c>
      <c r="F23" s="58"/>
      <c r="G23" s="44"/>
      <c r="H23" s="6"/>
      <c r="I23" s="6"/>
      <c r="J23" s="6"/>
      <c r="K23" s="6"/>
      <c r="L23" s="6"/>
      <c r="M23" s="6"/>
      <c r="N23" s="6"/>
      <c r="O23" s="6"/>
      <c r="P23" s="15"/>
      <c r="Q23" s="15"/>
      <c r="R23" s="15"/>
      <c r="S23" s="15"/>
      <c r="T23" s="15"/>
      <c r="U23" s="15"/>
      <c r="V23" s="15"/>
      <c r="W23" s="6"/>
      <c r="X23" s="6"/>
      <c r="Y23" s="6"/>
      <c r="Z23" s="13" t="s">
        <v>72</v>
      </c>
      <c r="AA23" s="6"/>
    </row>
    <row r="24" spans="1:27" ht="18" customHeight="1" x14ac:dyDescent="0.3">
      <c r="A24" s="8"/>
      <c r="B24" s="9" t="s">
        <v>39</v>
      </c>
      <c r="C24" s="10" t="s">
        <v>73</v>
      </c>
      <c r="D24" s="11" t="s">
        <v>64</v>
      </c>
      <c r="E24" s="51" t="s">
        <v>74</v>
      </c>
      <c r="F24" s="58"/>
      <c r="G24" s="44"/>
      <c r="H24" s="6"/>
      <c r="I24" s="6"/>
      <c r="J24" s="6"/>
      <c r="K24" s="6"/>
      <c r="L24" s="6"/>
      <c r="M24" s="6"/>
      <c r="N24" s="6"/>
      <c r="O24" s="6"/>
      <c r="P24" s="15"/>
      <c r="Q24" s="15"/>
      <c r="R24" s="15"/>
      <c r="S24" s="15"/>
      <c r="T24" s="15"/>
      <c r="U24" s="15"/>
      <c r="V24" s="15"/>
      <c r="W24" s="6"/>
      <c r="X24" s="6"/>
      <c r="Y24" s="6"/>
      <c r="Z24" s="13"/>
      <c r="AA24" s="6"/>
    </row>
    <row r="25" spans="1:27" ht="18" customHeight="1" x14ac:dyDescent="0.3">
      <c r="A25" s="8"/>
      <c r="B25" s="9" t="s">
        <v>39</v>
      </c>
      <c r="C25" s="10" t="s">
        <v>75</v>
      </c>
      <c r="D25" s="11" t="s">
        <v>64</v>
      </c>
      <c r="E25" s="51" t="s">
        <v>76</v>
      </c>
      <c r="F25" s="58"/>
      <c r="G25" s="44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15"/>
      <c r="V25" s="15"/>
      <c r="W25" s="15"/>
      <c r="X25" s="15"/>
      <c r="Y25" s="15"/>
      <c r="Z25" s="13" t="s">
        <v>77</v>
      </c>
      <c r="AA25" s="21"/>
    </row>
    <row r="26" spans="1:27" ht="18.600000000000001" customHeight="1" x14ac:dyDescent="0.3">
      <c r="A26" s="8"/>
      <c r="B26" s="9" t="s">
        <v>78</v>
      </c>
      <c r="C26" s="16" t="s">
        <v>79</v>
      </c>
      <c r="D26" s="11" t="s">
        <v>80</v>
      </c>
      <c r="E26" s="51" t="s">
        <v>205</v>
      </c>
      <c r="F26" s="58"/>
      <c r="G26" s="44"/>
      <c r="H26" s="6"/>
      <c r="I26" s="6"/>
      <c r="J26" s="6"/>
      <c r="K26" s="6"/>
      <c r="L26" s="6"/>
      <c r="M26" s="18"/>
      <c r="N26" s="18"/>
      <c r="O26" s="18"/>
      <c r="P26" s="6"/>
      <c r="Q26" s="6"/>
      <c r="R26" s="6"/>
      <c r="S26" s="6"/>
      <c r="T26" s="6"/>
      <c r="X26" s="21"/>
      <c r="Y26" s="21"/>
      <c r="Z26" s="13" t="s">
        <v>81</v>
      </c>
      <c r="AA26" s="21"/>
    </row>
    <row r="27" spans="1:27" ht="15.75" customHeight="1" x14ac:dyDescent="0.3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Y27" s="21"/>
      <c r="AA27" s="22"/>
    </row>
    <row r="28" spans="1:27" ht="15.75" customHeight="1" x14ac:dyDescent="0.3">
      <c r="A28" s="42" t="s">
        <v>82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AA28" s="22"/>
    </row>
    <row r="29" spans="1:27" ht="18" customHeight="1" x14ac:dyDescent="0.3">
      <c r="A29" s="8"/>
      <c r="B29" s="9" t="s">
        <v>83</v>
      </c>
      <c r="C29" s="10" t="s">
        <v>84</v>
      </c>
      <c r="D29" s="13" t="s">
        <v>85</v>
      </c>
      <c r="E29" s="51" t="s">
        <v>86</v>
      </c>
      <c r="F29" s="60"/>
      <c r="G29" s="47"/>
      <c r="H29" s="14"/>
      <c r="I29" s="14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13" t="s">
        <v>87</v>
      </c>
      <c r="AA29" s="21"/>
    </row>
    <row r="30" spans="1:27" ht="18" customHeight="1" x14ac:dyDescent="0.3">
      <c r="A30" s="8"/>
      <c r="B30" s="9" t="s">
        <v>83</v>
      </c>
      <c r="C30" s="16" t="s">
        <v>88</v>
      </c>
      <c r="D30" s="11" t="s">
        <v>89</v>
      </c>
      <c r="E30" s="51" t="s">
        <v>90</v>
      </c>
      <c r="F30" s="62"/>
      <c r="G30" s="54"/>
      <c r="H30" s="17"/>
      <c r="I30" s="17"/>
      <c r="J30" s="17"/>
      <c r="K30" s="17"/>
      <c r="L30" s="17"/>
      <c r="M30" s="17"/>
      <c r="N30" s="17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13" t="s">
        <v>91</v>
      </c>
      <c r="AA30" s="21"/>
    </row>
    <row r="31" spans="1:27" ht="18" customHeight="1" x14ac:dyDescent="0.3">
      <c r="A31" s="8"/>
      <c r="B31" s="9" t="s">
        <v>83</v>
      </c>
      <c r="C31" s="16" t="s">
        <v>92</v>
      </c>
      <c r="D31" s="11" t="s">
        <v>89</v>
      </c>
      <c r="E31" s="51" t="s">
        <v>93</v>
      </c>
      <c r="F31" s="58"/>
      <c r="G31" s="44"/>
      <c r="H31" s="6"/>
      <c r="I31" s="6"/>
      <c r="J31" s="6"/>
      <c r="K31" s="17"/>
      <c r="L31" s="17"/>
      <c r="M31" s="17"/>
      <c r="N31" s="17"/>
      <c r="O31" s="17"/>
      <c r="P31" s="17"/>
      <c r="Q31" s="17"/>
      <c r="R31" s="6"/>
      <c r="S31" s="6"/>
      <c r="T31" s="6"/>
      <c r="U31" s="6"/>
      <c r="V31" s="6"/>
      <c r="W31" s="6"/>
      <c r="X31" s="6"/>
      <c r="Y31" s="6"/>
      <c r="Z31" s="13" t="s">
        <v>94</v>
      </c>
      <c r="AA31" s="21"/>
    </row>
    <row r="32" spans="1:27" ht="18" customHeight="1" x14ac:dyDescent="0.3">
      <c r="A32" s="8"/>
      <c r="B32" s="9" t="s">
        <v>83</v>
      </c>
      <c r="C32" s="16" t="s">
        <v>95</v>
      </c>
      <c r="D32" s="11" t="s">
        <v>89</v>
      </c>
      <c r="E32" s="51" t="s">
        <v>96</v>
      </c>
      <c r="F32" s="58"/>
      <c r="G32" s="44"/>
      <c r="H32" s="6"/>
      <c r="I32" s="6"/>
      <c r="J32" s="6"/>
      <c r="K32" s="6"/>
      <c r="L32" s="6"/>
      <c r="M32" s="6"/>
      <c r="N32" s="6"/>
      <c r="O32" s="6"/>
      <c r="P32" s="17"/>
      <c r="Q32" s="17"/>
      <c r="R32" s="17"/>
      <c r="S32" s="17"/>
      <c r="T32" s="6"/>
      <c r="U32" s="6"/>
      <c r="V32" s="6"/>
      <c r="W32" s="6"/>
      <c r="X32" s="6"/>
      <c r="Y32" s="6"/>
      <c r="Z32" s="13" t="s">
        <v>97</v>
      </c>
      <c r="AA32" s="21"/>
    </row>
    <row r="33" spans="1:27" ht="18" customHeight="1" x14ac:dyDescent="0.3">
      <c r="A33" s="8"/>
      <c r="B33" s="9" t="s">
        <v>83</v>
      </c>
      <c r="C33" s="10" t="s">
        <v>98</v>
      </c>
      <c r="D33" s="11" t="s">
        <v>89</v>
      </c>
      <c r="E33" s="51" t="s">
        <v>99</v>
      </c>
      <c r="F33" s="61"/>
      <c r="G33" s="48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6"/>
      <c r="U33" s="6"/>
      <c r="V33" s="6"/>
      <c r="W33" s="6"/>
      <c r="X33" s="6"/>
      <c r="Y33" s="6"/>
      <c r="Z33" s="13" t="s">
        <v>100</v>
      </c>
      <c r="AA33" s="21"/>
    </row>
    <row r="34" spans="1:27" ht="18" customHeight="1" x14ac:dyDescent="0.3">
      <c r="A34" s="8"/>
      <c r="B34" s="9" t="s">
        <v>83</v>
      </c>
      <c r="C34" s="10" t="s">
        <v>101</v>
      </c>
      <c r="D34" s="11" t="s">
        <v>89</v>
      </c>
      <c r="E34" s="51" t="s">
        <v>102</v>
      </c>
      <c r="F34" s="61"/>
      <c r="G34" s="48"/>
      <c r="H34" s="15"/>
      <c r="I34" s="15"/>
      <c r="J34" s="15"/>
      <c r="K34" s="15"/>
      <c r="L34" s="15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13" t="s">
        <v>103</v>
      </c>
      <c r="AA34" s="21"/>
    </row>
    <row r="35" spans="1:27" ht="18" customHeight="1" x14ac:dyDescent="0.3">
      <c r="A35" s="8"/>
      <c r="B35" s="9" t="s">
        <v>83</v>
      </c>
      <c r="C35" s="10" t="s">
        <v>104</v>
      </c>
      <c r="D35" s="11" t="s">
        <v>89</v>
      </c>
      <c r="E35" s="51" t="s">
        <v>105</v>
      </c>
      <c r="F35" s="58"/>
      <c r="G35" s="44"/>
      <c r="H35" s="6"/>
      <c r="I35" s="6"/>
      <c r="J35" s="6"/>
      <c r="K35" s="15"/>
      <c r="L35" s="15"/>
      <c r="M35" s="15"/>
      <c r="N35" s="15"/>
      <c r="O35" s="15"/>
      <c r="P35" s="15"/>
      <c r="Q35" s="15"/>
      <c r="R35" s="6"/>
      <c r="S35" s="6"/>
      <c r="T35" s="6"/>
      <c r="U35" s="6"/>
      <c r="V35" s="6"/>
      <c r="W35" s="6"/>
      <c r="X35" s="6"/>
      <c r="Y35" s="6"/>
      <c r="Z35" s="13" t="s">
        <v>106</v>
      </c>
      <c r="AA35" s="21"/>
    </row>
    <row r="36" spans="1:27" ht="18" customHeight="1" x14ac:dyDescent="0.3">
      <c r="A36" s="8"/>
      <c r="B36" s="9" t="s">
        <v>83</v>
      </c>
      <c r="C36" s="10" t="s">
        <v>107</v>
      </c>
      <c r="D36" s="11" t="s">
        <v>108</v>
      </c>
      <c r="E36" s="51" t="s">
        <v>109</v>
      </c>
      <c r="F36" s="58"/>
      <c r="G36" s="44"/>
      <c r="H36" s="6"/>
      <c r="I36" s="6"/>
      <c r="J36" s="6"/>
      <c r="K36" s="15"/>
      <c r="L36" s="15"/>
      <c r="M36" s="15"/>
      <c r="N36" s="15"/>
      <c r="O36" s="15"/>
      <c r="P36" s="15"/>
      <c r="Q36" s="15"/>
      <c r="R36" s="15"/>
      <c r="S36" s="15"/>
      <c r="T36" s="6"/>
      <c r="U36" s="6"/>
      <c r="V36" s="6"/>
      <c r="W36" s="6"/>
      <c r="X36" s="6"/>
      <c r="Y36" s="6"/>
      <c r="Z36" s="13"/>
      <c r="AA36" s="21"/>
    </row>
    <row r="37" spans="1:27" ht="18" customHeight="1" x14ac:dyDescent="0.3">
      <c r="A37" s="8"/>
      <c r="B37" s="9" t="s">
        <v>83</v>
      </c>
      <c r="C37" s="10" t="s">
        <v>110</v>
      </c>
      <c r="D37" s="11" t="s">
        <v>89</v>
      </c>
      <c r="E37" s="51" t="s">
        <v>111</v>
      </c>
      <c r="F37" s="61"/>
      <c r="G37" s="48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3" t="s">
        <v>112</v>
      </c>
      <c r="AA37" s="21"/>
    </row>
    <row r="38" spans="1:27" ht="18" customHeight="1" x14ac:dyDescent="0.3">
      <c r="A38" s="8"/>
      <c r="B38" s="9" t="s">
        <v>78</v>
      </c>
      <c r="C38" s="16" t="s">
        <v>113</v>
      </c>
      <c r="D38" s="11" t="s">
        <v>114</v>
      </c>
      <c r="E38" s="51" t="s">
        <v>115</v>
      </c>
      <c r="F38" s="58"/>
      <c r="G38" s="44"/>
      <c r="H38" s="6"/>
      <c r="I38" s="6"/>
      <c r="J38" s="6"/>
      <c r="K38" s="6"/>
      <c r="L38" s="6"/>
      <c r="M38" s="6"/>
      <c r="N38" s="6"/>
      <c r="O38" s="6"/>
      <c r="P38" s="18"/>
      <c r="Q38" s="18"/>
      <c r="R38" s="21"/>
      <c r="S38" s="6"/>
      <c r="T38" s="6"/>
      <c r="U38" s="6"/>
      <c r="V38" s="6"/>
      <c r="W38" s="6"/>
      <c r="X38" s="6"/>
      <c r="Y38" s="6"/>
      <c r="Z38" s="13" t="s">
        <v>116</v>
      </c>
      <c r="AA38" s="21"/>
    </row>
    <row r="39" spans="1:27" ht="30" customHeight="1" x14ac:dyDescent="0.3">
      <c r="A39" s="8"/>
      <c r="B39" s="9" t="s">
        <v>78</v>
      </c>
      <c r="C39" s="16" t="s">
        <v>117</v>
      </c>
      <c r="D39" s="11" t="s">
        <v>118</v>
      </c>
      <c r="E39" s="51" t="s">
        <v>119</v>
      </c>
      <c r="F39" s="58"/>
      <c r="G39" s="44"/>
      <c r="H39" s="6"/>
      <c r="I39" s="6"/>
      <c r="J39" s="6"/>
      <c r="K39" s="6"/>
      <c r="L39" s="6"/>
      <c r="M39" s="6"/>
      <c r="N39" s="6"/>
      <c r="O39" s="6"/>
      <c r="P39" s="6"/>
      <c r="Q39" s="6"/>
      <c r="R39" s="18"/>
      <c r="S39" s="18"/>
      <c r="T39" s="18"/>
      <c r="U39" s="6"/>
      <c r="V39" s="6"/>
      <c r="W39" s="6"/>
      <c r="X39" s="6"/>
      <c r="Y39" s="6"/>
      <c r="Z39" s="13" t="s">
        <v>206</v>
      </c>
      <c r="AA39" s="21"/>
    </row>
    <row r="40" spans="1:27" ht="15.75" customHeight="1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Y40" s="21"/>
      <c r="AA40" s="22"/>
    </row>
    <row r="41" spans="1:27" ht="15.75" customHeight="1" x14ac:dyDescent="0.3">
      <c r="A41" s="23" t="s">
        <v>120</v>
      </c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19"/>
      <c r="Y41" s="19"/>
      <c r="AA41" s="22"/>
    </row>
    <row r="42" spans="1:27" ht="18" customHeight="1" x14ac:dyDescent="0.3">
      <c r="A42" s="3"/>
      <c r="B42" s="9" t="s">
        <v>121</v>
      </c>
      <c r="C42" s="10" t="s">
        <v>122</v>
      </c>
      <c r="D42" s="9" t="s">
        <v>123</v>
      </c>
      <c r="E42" s="52" t="s">
        <v>124</v>
      </c>
      <c r="F42" s="61"/>
      <c r="G42" s="48"/>
      <c r="H42" s="15"/>
      <c r="I42" s="15"/>
      <c r="J42" s="15"/>
      <c r="K42" s="15"/>
      <c r="L42" s="15"/>
      <c r="M42" s="15"/>
      <c r="N42" s="15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13" t="s">
        <v>125</v>
      </c>
      <c r="AA42" s="21"/>
    </row>
    <row r="43" spans="1:27" ht="18" customHeight="1" x14ac:dyDescent="0.3">
      <c r="A43" s="8"/>
      <c r="B43" s="9" t="s">
        <v>121</v>
      </c>
      <c r="C43" s="16" t="s">
        <v>126</v>
      </c>
      <c r="D43" s="11" t="s">
        <v>123</v>
      </c>
      <c r="E43" s="51" t="s">
        <v>127</v>
      </c>
      <c r="F43" s="58"/>
      <c r="G43" s="44"/>
      <c r="H43" s="6"/>
      <c r="I43" s="6"/>
      <c r="J43" s="6"/>
      <c r="K43" s="6"/>
      <c r="L43" s="6"/>
      <c r="M43" s="6"/>
      <c r="N43" s="6"/>
      <c r="O43" s="6"/>
      <c r="P43" s="17"/>
      <c r="Q43" s="17"/>
      <c r="R43" s="17"/>
      <c r="S43" s="17"/>
      <c r="T43" s="6"/>
      <c r="U43" s="6"/>
      <c r="V43" s="6"/>
      <c r="W43" s="6"/>
      <c r="X43" s="6"/>
      <c r="Y43" s="6"/>
      <c r="Z43" s="13" t="s">
        <v>128</v>
      </c>
      <c r="AA43" s="21"/>
    </row>
    <row r="44" spans="1:27" ht="18" customHeight="1" x14ac:dyDescent="0.3">
      <c r="A44" s="8"/>
      <c r="B44" s="9" t="s">
        <v>121</v>
      </c>
      <c r="C44" s="10" t="s">
        <v>129</v>
      </c>
      <c r="D44" s="11" t="s">
        <v>130</v>
      </c>
      <c r="E44" s="51" t="s">
        <v>131</v>
      </c>
      <c r="F44" s="58"/>
      <c r="G44" s="44"/>
      <c r="H44" s="6"/>
      <c r="I44" s="6"/>
      <c r="J44" s="6"/>
      <c r="K44" s="6"/>
      <c r="L44" s="6"/>
      <c r="M44" s="6"/>
      <c r="N44" s="6"/>
      <c r="O44" s="6"/>
      <c r="P44" s="15"/>
      <c r="Q44" s="15"/>
      <c r="R44" s="15"/>
      <c r="S44" s="15"/>
      <c r="T44" s="15"/>
      <c r="U44" s="15"/>
      <c r="V44" s="15"/>
      <c r="W44" s="6"/>
      <c r="X44" s="6"/>
      <c r="Y44" s="6"/>
      <c r="Z44" s="13" t="s">
        <v>132</v>
      </c>
      <c r="AA44" s="21"/>
    </row>
    <row r="45" spans="1:27" ht="30.6" x14ac:dyDescent="0.3">
      <c r="A45" s="8"/>
      <c r="B45" s="9" t="s">
        <v>121</v>
      </c>
      <c r="C45" s="10" t="s">
        <v>133</v>
      </c>
      <c r="D45" s="11" t="s">
        <v>134</v>
      </c>
      <c r="E45" s="51" t="s">
        <v>135</v>
      </c>
      <c r="F45" s="58"/>
      <c r="G45" s="44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15"/>
      <c r="V45" s="15"/>
      <c r="W45" s="15"/>
      <c r="X45" s="15"/>
      <c r="Y45" s="15"/>
      <c r="Z45" s="13" t="s">
        <v>136</v>
      </c>
      <c r="AA45" s="21"/>
    </row>
    <row r="46" spans="1:27" ht="15.75" customHeight="1" x14ac:dyDescent="0.3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Y46" s="21"/>
      <c r="AA46" s="22"/>
    </row>
    <row r="47" spans="1:27" ht="15.75" customHeight="1" x14ac:dyDescent="0.3">
      <c r="A47" s="23" t="s">
        <v>137</v>
      </c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19"/>
      <c r="Y47" s="19"/>
      <c r="AA47" s="22"/>
    </row>
    <row r="48" spans="1:27" ht="18" customHeight="1" x14ac:dyDescent="0.3">
      <c r="A48" s="8"/>
      <c r="B48" s="9" t="s">
        <v>138</v>
      </c>
      <c r="C48" s="10" t="s">
        <v>139</v>
      </c>
      <c r="D48" s="11" t="s">
        <v>140</v>
      </c>
      <c r="E48" s="51" t="s">
        <v>141</v>
      </c>
      <c r="F48" s="61"/>
      <c r="G48" s="48"/>
      <c r="H48" s="15"/>
      <c r="I48" s="15"/>
      <c r="J48" s="15"/>
      <c r="K48" s="15"/>
      <c r="L48" s="15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13"/>
      <c r="AA48" s="21"/>
    </row>
    <row r="49" spans="1:27" ht="18" customHeight="1" x14ac:dyDescent="0.3">
      <c r="A49" s="8"/>
      <c r="B49" s="9" t="s">
        <v>138</v>
      </c>
      <c r="C49" s="10" t="s">
        <v>142</v>
      </c>
      <c r="D49" s="11" t="s">
        <v>140</v>
      </c>
      <c r="E49" s="51" t="s">
        <v>143</v>
      </c>
      <c r="F49" s="58"/>
      <c r="G49" s="44"/>
      <c r="H49" s="6"/>
      <c r="I49" s="6"/>
      <c r="J49" s="6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3"/>
      <c r="AA49" s="21"/>
    </row>
    <row r="50" spans="1:27" ht="18" customHeight="1" x14ac:dyDescent="0.3">
      <c r="A50" s="8"/>
      <c r="B50" s="9" t="s">
        <v>138</v>
      </c>
      <c r="C50" s="10" t="s">
        <v>144</v>
      </c>
      <c r="D50" s="11" t="s">
        <v>140</v>
      </c>
      <c r="E50" s="51" t="s">
        <v>145</v>
      </c>
      <c r="F50" s="58"/>
      <c r="G50" s="44"/>
      <c r="H50" s="6"/>
      <c r="I50" s="6"/>
      <c r="J50" s="6"/>
      <c r="K50" s="15"/>
      <c r="L50" s="15"/>
      <c r="M50" s="15"/>
      <c r="N50" s="15"/>
      <c r="O50" s="15"/>
      <c r="P50" s="15"/>
      <c r="Q50" s="15"/>
      <c r="R50" s="15"/>
      <c r="S50" s="15"/>
      <c r="T50" s="6"/>
      <c r="U50" s="6"/>
      <c r="V50" s="6"/>
      <c r="W50" s="6"/>
      <c r="X50" s="6"/>
      <c r="Y50" s="6"/>
      <c r="Z50" s="13" t="s">
        <v>146</v>
      </c>
      <c r="AA50" s="21"/>
    </row>
    <row r="51" spans="1:27" ht="20.399999999999999" x14ac:dyDescent="0.3">
      <c r="A51" s="8"/>
      <c r="B51" s="9" t="s">
        <v>138</v>
      </c>
      <c r="C51" s="10" t="s">
        <v>147</v>
      </c>
      <c r="D51" s="11" t="s">
        <v>140</v>
      </c>
      <c r="E51" s="51" t="s">
        <v>148</v>
      </c>
      <c r="F51" s="58"/>
      <c r="G51" s="44"/>
      <c r="H51" s="6"/>
      <c r="I51" s="6"/>
      <c r="J51" s="6"/>
      <c r="K51" s="6"/>
      <c r="L51" s="6"/>
      <c r="M51" s="6"/>
      <c r="N51" s="6"/>
      <c r="O51" s="6"/>
      <c r="P51" s="15"/>
      <c r="Q51" s="15"/>
      <c r="R51" s="15"/>
      <c r="S51" s="15"/>
      <c r="T51" s="15"/>
      <c r="U51" s="15"/>
      <c r="V51" s="15"/>
      <c r="W51" s="6"/>
      <c r="X51" s="6"/>
      <c r="Y51" s="6"/>
      <c r="Z51" s="13" t="s">
        <v>149</v>
      </c>
      <c r="AA51" s="21"/>
    </row>
    <row r="52" spans="1:27" ht="15.75" customHeight="1" x14ac:dyDescent="0.3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Y52" s="21"/>
      <c r="AA52" s="22"/>
    </row>
    <row r="53" spans="1:27" ht="15.75" customHeight="1" x14ac:dyDescent="0.3">
      <c r="A53" s="23" t="s">
        <v>150</v>
      </c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19"/>
      <c r="Y53" s="19"/>
      <c r="AA53" s="22"/>
    </row>
    <row r="54" spans="1:27" ht="18" customHeight="1" x14ac:dyDescent="0.3">
      <c r="A54" s="8"/>
      <c r="B54" s="9" t="s">
        <v>151</v>
      </c>
      <c r="C54" s="16" t="s">
        <v>152</v>
      </c>
      <c r="D54" s="11" t="s">
        <v>153</v>
      </c>
      <c r="E54" s="51" t="s">
        <v>154</v>
      </c>
      <c r="F54" s="62"/>
      <c r="G54" s="54"/>
      <c r="H54" s="17"/>
      <c r="I54" s="17"/>
      <c r="J54" s="17"/>
      <c r="K54" s="17"/>
      <c r="L54" s="17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13" t="s">
        <v>155</v>
      </c>
      <c r="AA54" s="21"/>
    </row>
    <row r="55" spans="1:27" ht="18" customHeight="1" x14ac:dyDescent="0.3">
      <c r="A55" s="8"/>
      <c r="B55" s="9" t="s">
        <v>151</v>
      </c>
      <c r="C55" s="10" t="s">
        <v>156</v>
      </c>
      <c r="D55" s="11" t="s">
        <v>108</v>
      </c>
      <c r="E55" s="51" t="s">
        <v>157</v>
      </c>
      <c r="F55" s="61"/>
      <c r="G55" s="48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6"/>
      <c r="U55" s="6"/>
      <c r="V55" s="6"/>
      <c r="W55" s="6"/>
      <c r="X55" s="6"/>
      <c r="Y55" s="6"/>
      <c r="Z55" s="13" t="s">
        <v>158</v>
      </c>
      <c r="AA55" s="21"/>
    </row>
    <row r="56" spans="1:27" ht="20.399999999999999" x14ac:dyDescent="0.3">
      <c r="A56" s="8"/>
      <c r="B56" s="9" t="s">
        <v>151</v>
      </c>
      <c r="C56" s="10" t="s">
        <v>159</v>
      </c>
      <c r="D56" s="11" t="s">
        <v>108</v>
      </c>
      <c r="E56" s="51" t="s">
        <v>160</v>
      </c>
      <c r="F56" s="58"/>
      <c r="G56" s="44"/>
      <c r="H56" s="6"/>
      <c r="I56" s="6"/>
      <c r="J56" s="6"/>
      <c r="K56" s="15"/>
      <c r="L56" s="15"/>
      <c r="M56" s="15"/>
      <c r="N56" s="15"/>
      <c r="O56" s="15"/>
      <c r="P56" s="15"/>
      <c r="Q56" s="15"/>
      <c r="R56" s="15"/>
      <c r="S56" s="15"/>
      <c r="T56" s="6"/>
      <c r="U56" s="6"/>
      <c r="V56" s="6"/>
      <c r="W56" s="6"/>
      <c r="X56" s="6"/>
      <c r="Y56" s="6"/>
      <c r="Z56" s="13"/>
      <c r="AA56" s="21"/>
    </row>
    <row r="57" spans="1:27" ht="15.75" customHeight="1" x14ac:dyDescent="0.3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Y57" s="21"/>
      <c r="AA57" s="22"/>
    </row>
    <row r="58" spans="1:27" ht="15.75" customHeight="1" x14ac:dyDescent="0.3">
      <c r="A58" s="23" t="s">
        <v>161</v>
      </c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19"/>
      <c r="AA58" s="22"/>
    </row>
    <row r="59" spans="1:27" ht="18" customHeight="1" x14ac:dyDescent="0.3">
      <c r="A59" s="8"/>
      <c r="B59" s="9" t="s">
        <v>162</v>
      </c>
      <c r="C59" s="10" t="s">
        <v>163</v>
      </c>
      <c r="D59" s="11" t="s">
        <v>89</v>
      </c>
      <c r="E59" s="51" t="s">
        <v>164</v>
      </c>
      <c r="F59" s="61"/>
      <c r="G59" s="48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6"/>
      <c r="U59" s="6"/>
      <c r="V59" s="6"/>
      <c r="W59" s="6"/>
      <c r="X59" s="6"/>
      <c r="Y59" s="6"/>
      <c r="Z59" s="13" t="s">
        <v>165</v>
      </c>
      <c r="AA59" s="21"/>
    </row>
    <row r="60" spans="1:27" ht="18" customHeight="1" x14ac:dyDescent="0.3">
      <c r="A60" s="8"/>
      <c r="B60" s="9" t="s">
        <v>162</v>
      </c>
      <c r="C60" s="10" t="s">
        <v>166</v>
      </c>
      <c r="D60" s="11" t="s">
        <v>53</v>
      </c>
      <c r="E60" s="51" t="s">
        <v>167</v>
      </c>
      <c r="F60" s="58"/>
      <c r="G60" s="44"/>
      <c r="H60" s="6"/>
      <c r="I60" s="6"/>
      <c r="J60" s="6"/>
      <c r="K60" s="15"/>
      <c r="L60" s="15"/>
      <c r="M60" s="15"/>
      <c r="N60" s="15"/>
      <c r="O60" s="15"/>
      <c r="P60" s="15"/>
      <c r="Q60" s="15"/>
      <c r="R60" s="15"/>
      <c r="S60" s="15"/>
      <c r="T60" s="6"/>
      <c r="U60" s="6"/>
      <c r="V60" s="6"/>
      <c r="W60" s="6"/>
      <c r="X60" s="6"/>
      <c r="Y60" s="6"/>
      <c r="Z60" s="13" t="s">
        <v>168</v>
      </c>
      <c r="AA60" s="21"/>
    </row>
    <row r="61" spans="1:27" ht="18" customHeight="1" x14ac:dyDescent="0.3">
      <c r="A61" s="8"/>
      <c r="B61" s="9" t="s">
        <v>162</v>
      </c>
      <c r="C61" s="10" t="s">
        <v>169</v>
      </c>
      <c r="D61" s="11" t="s">
        <v>64</v>
      </c>
      <c r="E61" s="51" t="s">
        <v>170</v>
      </c>
      <c r="F61" s="61"/>
      <c r="G61" s="48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3" t="s">
        <v>171</v>
      </c>
      <c r="AA61" s="21"/>
    </row>
    <row r="62" spans="1:27" ht="18" customHeight="1" x14ac:dyDescent="0.3">
      <c r="A62" s="8"/>
      <c r="B62" s="9" t="s">
        <v>162</v>
      </c>
      <c r="C62" s="10" t="s">
        <v>172</v>
      </c>
      <c r="D62" s="11" t="s">
        <v>64</v>
      </c>
      <c r="E62" s="51" t="s">
        <v>173</v>
      </c>
      <c r="F62" s="61"/>
      <c r="G62" s="48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3" t="s">
        <v>174</v>
      </c>
      <c r="AA62" s="21"/>
    </row>
    <row r="63" spans="1:27" ht="18" customHeight="1" x14ac:dyDescent="0.3">
      <c r="A63" s="8"/>
      <c r="B63" s="9" t="s">
        <v>162</v>
      </c>
      <c r="C63" s="10" t="s">
        <v>175</v>
      </c>
      <c r="D63" s="11" t="s">
        <v>64</v>
      </c>
      <c r="E63" s="51" t="s">
        <v>176</v>
      </c>
      <c r="F63" s="58"/>
      <c r="G63" s="44"/>
      <c r="H63" s="6"/>
      <c r="I63" s="6"/>
      <c r="J63" s="6"/>
      <c r="K63" s="6"/>
      <c r="L63" s="6"/>
      <c r="M63" s="6"/>
      <c r="N63" s="6"/>
      <c r="O63" s="6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3"/>
      <c r="AA63" s="21"/>
    </row>
    <row r="64" spans="1:27" ht="20.399999999999999" x14ac:dyDescent="0.3">
      <c r="A64" s="8"/>
      <c r="B64" s="9" t="s">
        <v>162</v>
      </c>
      <c r="C64" s="10" t="s">
        <v>177</v>
      </c>
      <c r="D64" s="11" t="s">
        <v>64</v>
      </c>
      <c r="E64" s="51" t="s">
        <v>178</v>
      </c>
      <c r="F64" s="58"/>
      <c r="G64" s="44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15"/>
      <c r="V64" s="15"/>
      <c r="W64" s="15"/>
      <c r="X64" s="15"/>
      <c r="Y64" s="15"/>
      <c r="Z64" s="13" t="s">
        <v>179</v>
      </c>
      <c r="AA64" s="21"/>
    </row>
    <row r="65" spans="1:27" ht="15.75" customHeight="1" x14ac:dyDescent="0.3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Y65" s="21"/>
      <c r="AA65" s="22"/>
    </row>
    <row r="66" spans="1:27" ht="15.75" customHeight="1" x14ac:dyDescent="0.3">
      <c r="A66" s="23" t="s">
        <v>180</v>
      </c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19"/>
      <c r="AA66" s="22"/>
    </row>
    <row r="67" spans="1:27" ht="20.399999999999999" x14ac:dyDescent="0.3">
      <c r="A67" s="8"/>
      <c r="B67" s="9" t="s">
        <v>181</v>
      </c>
      <c r="C67" s="16" t="s">
        <v>182</v>
      </c>
      <c r="D67" s="11" t="s">
        <v>183</v>
      </c>
      <c r="E67" s="51" t="s">
        <v>184</v>
      </c>
      <c r="F67" s="58"/>
      <c r="G67" s="44"/>
      <c r="H67" s="6"/>
      <c r="I67" s="6"/>
      <c r="J67" s="6"/>
      <c r="K67" s="12"/>
      <c r="L67" s="12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13" t="s">
        <v>185</v>
      </c>
      <c r="AA67" s="21"/>
    </row>
    <row r="68" spans="1:27" ht="30.6" x14ac:dyDescent="0.3">
      <c r="A68" s="8"/>
      <c r="B68" s="9" t="s">
        <v>181</v>
      </c>
      <c r="C68" s="16" t="s">
        <v>186</v>
      </c>
      <c r="D68" s="11" t="s">
        <v>187</v>
      </c>
      <c r="E68" s="51" t="s">
        <v>188</v>
      </c>
      <c r="F68" s="58"/>
      <c r="G68" s="44"/>
      <c r="H68" s="6"/>
      <c r="I68" s="6"/>
      <c r="J68" s="6"/>
      <c r="K68" s="6"/>
      <c r="L68" s="6"/>
      <c r="M68" s="6"/>
      <c r="N68" s="6"/>
      <c r="O68" s="6"/>
      <c r="P68" s="12"/>
      <c r="Q68" s="12"/>
      <c r="R68" s="12"/>
      <c r="S68" s="12"/>
      <c r="T68" s="12"/>
      <c r="U68" s="12"/>
      <c r="V68" s="6"/>
      <c r="W68" s="6"/>
      <c r="X68" s="6"/>
      <c r="Y68" s="6"/>
      <c r="Z68" s="13" t="s">
        <v>189</v>
      </c>
      <c r="AA68" s="21"/>
    </row>
    <row r="69" spans="1:27" ht="15.75" customHeight="1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Y69" s="21"/>
      <c r="AA69" s="22"/>
    </row>
    <row r="70" spans="1:27" ht="15" customHeight="1" x14ac:dyDescent="0.3">
      <c r="A70" s="23" t="s">
        <v>190</v>
      </c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"/>
      <c r="Y70" s="21"/>
      <c r="Z70" s="2"/>
      <c r="AA70" s="40"/>
    </row>
    <row r="71" spans="1:27" ht="15" customHeight="1" x14ac:dyDescent="0.3">
      <c r="A71" s="25" t="s">
        <v>191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0"/>
      <c r="AA71" s="41"/>
    </row>
    <row r="72" spans="1:27" ht="15" customHeight="1" x14ac:dyDescent="0.3">
      <c r="A72" s="25" t="s">
        <v>192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0"/>
      <c r="AA72" s="41"/>
    </row>
    <row r="73" spans="1:27" ht="15" customHeight="1" x14ac:dyDescent="0.3">
      <c r="A73" s="25" t="s">
        <v>193</v>
      </c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0"/>
      <c r="AA73" s="41"/>
    </row>
    <row r="74" spans="1:27" ht="15" customHeight="1" x14ac:dyDescent="0.3">
      <c r="A74" s="25" t="s">
        <v>194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0"/>
      <c r="AA74" s="41"/>
    </row>
    <row r="75" spans="1:27" ht="15" customHeight="1" x14ac:dyDescent="0.3">
      <c r="A75" s="25" t="s">
        <v>195</v>
      </c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0"/>
      <c r="AA75" s="20"/>
    </row>
    <row r="76" spans="1:27" ht="15" customHeight="1" x14ac:dyDescent="0.3">
      <c r="A76" s="25" t="s">
        <v>196</v>
      </c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0"/>
      <c r="AA76" s="20"/>
    </row>
    <row r="77" spans="1:27" ht="7.5" customHeight="1" x14ac:dyDescent="0.3">
      <c r="X77" s="20"/>
      <c r="AA77" s="20"/>
    </row>
    <row r="78" spans="1:27" ht="15.75" customHeight="1" x14ac:dyDescent="0.3">
      <c r="A78" s="23" t="s">
        <v>197</v>
      </c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19"/>
      <c r="Y78" s="19"/>
      <c r="Z78" s="19"/>
      <c r="AA78" s="19"/>
    </row>
    <row r="79" spans="1:27" ht="13.5" customHeight="1" x14ac:dyDescent="0.3">
      <c r="A79" s="31"/>
      <c r="B79" s="31"/>
      <c r="C79" s="28" t="s">
        <v>198</v>
      </c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"/>
      <c r="Y79" s="21"/>
      <c r="Z79" s="2"/>
      <c r="AA79" s="2"/>
    </row>
    <row r="80" spans="1:27" ht="13.5" customHeight="1" x14ac:dyDescent="0.3">
      <c r="A80" s="32"/>
      <c r="B80" s="32"/>
      <c r="C80" s="28" t="s">
        <v>199</v>
      </c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"/>
      <c r="Y80" s="21"/>
      <c r="Z80" s="2"/>
      <c r="AA80" s="2"/>
    </row>
    <row r="81" spans="1:27" ht="13.5" customHeight="1" x14ac:dyDescent="0.3">
      <c r="A81" s="33"/>
      <c r="B81" s="33"/>
      <c r="C81" s="28" t="s">
        <v>200</v>
      </c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"/>
      <c r="Y81" s="21"/>
      <c r="Z81" s="2"/>
      <c r="AA81" s="2"/>
    </row>
    <row r="82" spans="1:27" ht="13.5" customHeight="1" x14ac:dyDescent="0.3">
      <c r="A82" s="29"/>
      <c r="B82" s="29"/>
      <c r="C82" s="28" t="s">
        <v>201</v>
      </c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"/>
      <c r="Y82" s="21"/>
      <c r="Z82" s="2"/>
      <c r="AA82" s="2"/>
    </row>
    <row r="83" spans="1:27" ht="13.5" customHeight="1" x14ac:dyDescent="0.3">
      <c r="A83" s="30"/>
      <c r="B83" s="30"/>
      <c r="C83" s="28" t="s">
        <v>202</v>
      </c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"/>
      <c r="Y83" s="21"/>
      <c r="Z83" s="2"/>
      <c r="AA83" s="2"/>
    </row>
    <row r="84" spans="1:27" ht="13.5" customHeight="1" x14ac:dyDescent="0.3">
      <c r="A84" s="30"/>
      <c r="B84" s="30"/>
      <c r="C84" s="28" t="s">
        <v>203</v>
      </c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"/>
      <c r="Y84" s="21"/>
      <c r="Z84" s="2"/>
      <c r="AA84" s="2"/>
    </row>
    <row r="85" spans="1:27" ht="13.5" customHeight="1" x14ac:dyDescent="0.3">
      <c r="A85" s="27"/>
      <c r="B85" s="24"/>
      <c r="C85" s="28" t="s">
        <v>204</v>
      </c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0"/>
      <c r="Y85" s="22"/>
      <c r="AA85" s="20"/>
    </row>
  </sheetData>
  <mergeCells count="50">
    <mergeCell ref="A1:W1"/>
    <mergeCell ref="A2:W2"/>
    <mergeCell ref="A4:A5"/>
    <mergeCell ref="B4:B5"/>
    <mergeCell ref="C4:C5"/>
    <mergeCell ref="D4:D5"/>
    <mergeCell ref="E4:E5"/>
    <mergeCell ref="F4:J4"/>
    <mergeCell ref="K4:O4"/>
    <mergeCell ref="P4:T4"/>
    <mergeCell ref="U4:Y4"/>
    <mergeCell ref="A65:W65"/>
    <mergeCell ref="Z4:Z5"/>
    <mergeCell ref="AA4:AA5"/>
    <mergeCell ref="A27:W27"/>
    <mergeCell ref="A6:W6"/>
    <mergeCell ref="A14:W14"/>
    <mergeCell ref="A28:Y28"/>
    <mergeCell ref="C81:W81"/>
    <mergeCell ref="A74:W74"/>
    <mergeCell ref="A75:W75"/>
    <mergeCell ref="A69:W69"/>
    <mergeCell ref="A70:W70"/>
    <mergeCell ref="A71:W71"/>
    <mergeCell ref="A72:W72"/>
    <mergeCell ref="A73:W73"/>
    <mergeCell ref="A41:W41"/>
    <mergeCell ref="A47:W47"/>
    <mergeCell ref="A53:W53"/>
    <mergeCell ref="A58:W58"/>
    <mergeCell ref="A40:W40"/>
    <mergeCell ref="A46:W46"/>
    <mergeCell ref="A52:W52"/>
    <mergeCell ref="A57:W57"/>
    <mergeCell ref="A66:W66"/>
    <mergeCell ref="A76:W76"/>
    <mergeCell ref="A78:W78"/>
    <mergeCell ref="A85:B85"/>
    <mergeCell ref="C85:W85"/>
    <mergeCell ref="A82:B82"/>
    <mergeCell ref="C82:W82"/>
    <mergeCell ref="A83:B83"/>
    <mergeCell ref="C83:W83"/>
    <mergeCell ref="A84:B84"/>
    <mergeCell ref="C84:W84"/>
    <mergeCell ref="A79:B79"/>
    <mergeCell ref="C79:W79"/>
    <mergeCell ref="A80:B80"/>
    <mergeCell ref="C80:W80"/>
    <mergeCell ref="A81:B81"/>
  </mergeCells>
  <dataValidations count="2">
    <dataValidation type="list" allowBlank="1" sqref="X5 AA15:AA27 AA29:AA40 AA42:AA46 AA48:AA52 AA54:AA57 AA59:AA65 AA67:AA70 AA79:AA84 X94:X103 AA86:AA103 AA7:AA13" xr:uid="{00000000-0002-0000-0000-000000000000}">
      <formula1>"🟢 Completed,🟡 In Progress,🔴 Delayed"</formula1>
      <formula2>0</formula2>
    </dataValidation>
    <dataValidation type="list" allowBlank="1" sqref="AA28 AA41 AA47 AA53 AA58 AA66 AA85 Y14:AA14 X6:AA6 AA71:AA77" xr:uid="{D40EE923-7DD3-4FBF-B2AE-C833E81DDA4A}">
      <formula1>"🟢 Completed,🟡 In Progress,🔴 Delayed"</formula1>
    </dataValidation>
  </dataValidations>
  <pageMargins left="0.75" right="0.75" top="1" bottom="1" header="0.511811023622047" footer="0.511811023622047"/>
  <pageSetup paperSize="9" orientation="portrait" horizontalDpi="300" verticalDpi="30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Discovery Workplan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Flood, Michelle</cp:lastModifiedBy>
  <cp:revision>0</cp:revision>
  <dcterms:created xsi:type="dcterms:W3CDTF">2026-07-27T01:03:11Z</dcterms:created>
  <dcterms:modified xsi:type="dcterms:W3CDTF">2026-07-27T06:51:21Z</dcterms:modified>
  <dc:language>en-US</dc:language>
</cp:coreProperties>
</file>