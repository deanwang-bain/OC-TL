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60436/Downloads/"/>
    </mc:Choice>
  </mc:AlternateContent>
  <xr:revisionPtr revIDLastSave="0" documentId="13_ncr:1_{25029EB5-B9C1-B448-AB2D-97D0369E1215}" xr6:coauthVersionLast="47" xr6:coauthVersionMax="47" xr10:uidLastSave="{00000000-0000-0000-0000-000000000000}"/>
  <bookViews>
    <workbookView xWindow="21520" yWindow="-28320" windowWidth="51200" windowHeight="28320" tabRatio="500" activeTab="1" xr2:uid="{00000000-000D-0000-FFFF-FFFF00000000}"/>
  </bookViews>
  <sheets>
    <sheet name="Index" sheetId="1" r:id="rId1"/>
    <sheet name="Tracker" sheetId="2" r:id="rId2"/>
    <sheet name="Summary" sheetId="3" r:id="rId3"/>
    <sheet name="Action Items" sheetId="4" r:id="rId4"/>
  </sheets>
  <definedNames>
    <definedName name="_xlnm._FilterDatabase" localSheetId="3" hidden="1">'Action Items'!$B$9:$G$26</definedName>
    <definedName name="_xlnm._FilterDatabase" localSheetId="1" hidden="1">Tracker!$A$9:$V$189</definedName>
    <definedName name="BtfeHeaderLastChanged" localSheetId="3">'Action Items'!$B$4</definedName>
    <definedName name="BtfeHeaderLastChanged" localSheetId="0">Index!$C$8</definedName>
    <definedName name="BtfeHeaderLastChanged" localSheetId="2">Summary!$B$4</definedName>
    <definedName name="BtfeHeaderLastChanged" localSheetId="1">Tracker!$B$4</definedName>
    <definedName name="BtfeHeaderSheetName" localSheetId="3">'Action Items'!$B$3</definedName>
    <definedName name="BtfeHeaderSheetName" localSheetId="2">Summary!$B$3</definedName>
    <definedName name="BtfeHeaderSheetName" localSheetId="1">Tracker!$B$3</definedName>
    <definedName name="BtfeHeaderWorkbookTitle" localSheetId="3">'Action Items'!$B$2</definedName>
    <definedName name="BtfeHeaderWorkbookTitle" localSheetId="0">Index!$C$7</definedName>
    <definedName name="BtfeHeaderWorkbookTitle" localSheetId="2">Summary!$B$2</definedName>
    <definedName name="BtfeHeaderWorkbookTitle" localSheetId="1">Tracker!$B$2</definedName>
    <definedName name="BtfeIndexSheetTable">Index!$C$13:$E$22</definedName>
    <definedName name="_xlnm.Print_Area" localSheetId="0">Index!$A$1:$G$24</definedName>
    <definedName name="_xlnm.Print_Titles" localSheetId="0">Index!$1:$12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C36" i="3"/>
  <c r="C35" i="3"/>
  <c r="C34" i="3"/>
  <c r="C33" i="3"/>
  <c r="C32" i="3"/>
  <c r="C31" i="3"/>
  <c r="C26" i="3"/>
  <c r="C25" i="3"/>
  <c r="C24" i="3"/>
  <c r="C23" i="3"/>
  <c r="C22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G11" i="3" s="1"/>
  <c r="F10" i="3"/>
  <c r="E10" i="3"/>
  <c r="D10" i="3"/>
  <c r="C10" i="3"/>
  <c r="B2" i="2"/>
  <c r="G17" i="3" l="1"/>
  <c r="G16" i="3"/>
  <c r="F18" i="3"/>
  <c r="D18" i="3"/>
  <c r="G13" i="3"/>
  <c r="G14" i="3"/>
  <c r="G12" i="3"/>
  <c r="E18" i="3"/>
  <c r="C27" i="3"/>
  <c r="G15" i="3"/>
  <c r="C18" i="3"/>
  <c r="G10" i="3"/>
  <c r="G18" i="3" l="1"/>
</calcChain>
</file>

<file path=xl/sharedStrings.xml><?xml version="1.0" encoding="utf-8"?>
<sst xmlns="http://schemas.openxmlformats.org/spreadsheetml/2006/main" count="1538" uniqueCount="533">
  <si>
    <t>Sheet types</t>
  </si>
  <si>
    <t>/ DRAFT</t>
  </si>
  <si>
    <t>Input: Facts</t>
  </si>
  <si>
    <t>Input: Assumptions</t>
  </si>
  <si>
    <t>Calculation</t>
  </si>
  <si>
    <t>Output</t>
  </si>
  <si>
    <t>Last changed on: 29-Jul-2026</t>
  </si>
  <si>
    <t>Requirement-by-requirement responses against the Architecture Assessment framework (180 requirements).</t>
  </si>
  <si>
    <t>Sheet Name</t>
  </si>
  <si>
    <t>Description</t>
  </si>
  <si>
    <t>Type</t>
  </si>
  <si>
    <t>8TXtzVME</t>
  </si>
  <si>
    <t>Tracker</t>
  </si>
  <si>
    <t>Full 180-requirement status: original and proposed priority, classification, responses, status, owner, technical comment, and recommended action.</t>
  </si>
  <si>
    <t>C9TY6N0M</t>
  </si>
  <si>
    <t>Summary</t>
  </si>
  <si>
    <t>Counts of status by area and by owner, plus MUST-coverage KPIs (formula-driven).</t>
  </si>
  <si>
    <t>QzffmkCa</t>
  </si>
  <si>
    <t>Action Items</t>
  </si>
  <si>
    <t>Discussion points, disagreements needing resolution, suggested next steps.</t>
  </si>
  <si>
    <t>Sheet "Tracker"</t>
  </si>
  <si>
    <t>ARC v2 — Architecture Assessment Response Tracker</t>
  </si>
  <si>
    <t>Status = reviewer derivation from  responses. Filter on Status / Owner / Priority to route work. Concern &amp; Disagreement (red) need attention first.</t>
  </si>
  <si>
    <t>Colours are to focus attention on most important items that need discussion</t>
  </si>
  <si>
    <t>ID</t>
  </si>
  <si>
    <t>Area</t>
  </si>
  <si>
    <t>Section</t>
  </si>
  <si>
    <t>Requirement</t>
  </si>
  <si>
    <t>Priority</t>
  </si>
  <si>
    <t>Proposed Priority</t>
  </si>
  <si>
    <t>Classification</t>
  </si>
  <si>
    <t>Design response</t>
  </si>
  <si>
    <t>Arch/Engineering response</t>
  </si>
  <si>
    <t>Status</t>
  </si>
  <si>
    <t>Owner</t>
  </si>
  <si>
    <t>Technical Comment</t>
  </si>
  <si>
    <t>Flag / Recommended Action</t>
  </si>
  <si>
    <t>overall RAG</t>
  </si>
  <si>
    <t>TA-01</t>
  </si>
  <si>
    <t>Technical Architecture</t>
  </si>
  <si>
    <t>Core Architecture</t>
  </si>
  <si>
    <t>High-level architectural diagrams MUST exist and be accessible for peer review.</t>
  </si>
  <si>
    <t>MUST</t>
  </si>
  <si>
    <t>Applicable – D&amp;D</t>
  </si>
  <si>
    <t>Valid architecture/design concern. Define the target approach and decision during D&amp;D; implementation evidence can follow during delivery.</t>
  </si>
  <si>
    <t>TA-02</t>
  </si>
  <si>
    <t>The architectural style (e.g. Cloud, SaaS, N-Tier, µ-services) MUST be clearly defined and documented with supporting diagrams (activity, sequence, data flow, deployment).</t>
  </si>
  <si>
    <t>TA-03</t>
  </si>
  <si>
    <t>Data flow MUST be documented, including how data is ingested, validated and screened from third parties.</t>
  </si>
  <si>
    <t>TA-04</t>
  </si>
  <si>
    <t>The solution MUST follow a standard µ-service or enterprise application architecture pattern.</t>
  </si>
  <si>
    <t>SHOULD</t>
  </si>
  <si>
    <t>Questionable Requirement</t>
  </si>
  <si>
    <t>Do not mandate microservices. Require an architecture pattern appropriate to the product context.</t>
  </si>
  <si>
    <t>TA-05</t>
  </si>
  <si>
    <t>Service implementations MUST be governed at the correct functional granularity to support independent scalability.</t>
  </si>
  <si>
    <t>Independent scalability is only required where components have distinct scaling needs; functional boundaries should drive decomposition.</t>
  </si>
  <si>
    <t>TA-06</t>
  </si>
  <si>
    <t>The degree of coupling between services and components MUST be assessed and minimised; abstractions MUST be in place to manage complexity.</t>
  </si>
  <si>
    <t>TA-07</t>
  </si>
  <si>
    <t>Open source usage MUST be documented; code-back obligations MUST be identified and the relevant code MUST be segregated (e.g. separate repo with binary dependency consumption).</t>
  </si>
  <si>
    <t>Applicable – Development</t>
  </si>
  <si>
    <t>Valid implementation/engineering requirement. The architecture should enable it, but concrete evidence is expected during development and CI/CD rather than as a complete D&amp;D deliverable.</t>
  </si>
  <si>
    <t>TA-08</t>
  </si>
  <si>
    <t>Interconnectivity standards MUST be defined and implemented (e.g. RESTful/resource-based URLs, GraphQL, JSON, XML, AVRO).</t>
  </si>
  <si>
    <t>TA-09</t>
  </si>
  <si>
    <t>System orchestration MUST support pre-emptive and time-based scaling.</t>
  </si>
  <si>
    <t>Pre-emptive/time-based scaling is context-dependent. Autoscaling strategy should be based on actual workload characteristics.</t>
  </si>
  <si>
    <t>TA-10</t>
  </si>
  <si>
    <t>Memory consumption MUST be controlled; each instance MUST be independent from a memory standpoint relative to input data.</t>
  </si>
  <si>
    <t>Control memory usage, but the wording about instance independence should be interpreted according to the runtime and state model.</t>
  </si>
  <si>
    <t>TA-11</t>
  </si>
  <si>
    <t>Major components MUST be compartmentalised, with assigned guardians/gatekeepers responsible for conceptual integrity.</t>
  </si>
  <si>
    <t>Component ownership is useful, but named guardians/gatekeepers are an operating-model choice rather than a universal architecture requirement.</t>
  </si>
  <si>
    <t>TA-12</t>
  </si>
  <si>
    <t>Code MUST be traceable to architectural designs; architectural documentation MUST be maintained as living documents.</t>
  </si>
  <si>
    <t>TA-13</t>
  </si>
  <si>
    <t>Where the system is defined as a platform, a platform API MUST be formally defined and enforced.</t>
  </si>
  <si>
    <t>TA-14</t>
  </si>
  <si>
    <t>The data layer MUST be abstracted sufficiently to permit independent migration (e.g. RDBMS to NoSQL) without requiring changes to business logic.</t>
  </si>
  <si>
    <t>Database portability should not be mandated. Decouple persistence from business logic where useful, but avoid designing for hypothetical RDBMS-to-NoSQL migration.</t>
  </si>
  <si>
    <t>TA-15</t>
  </si>
  <si>
    <t>Architecture MUST support testability, for example through Dependency Injection.</t>
  </si>
  <si>
    <t>TA-16</t>
  </si>
  <si>
    <t>Architecture MUST support forward compatibility and extensibility.</t>
  </si>
  <si>
    <t>TA-17</t>
  </si>
  <si>
    <t>Sensitive data (passwords, access keys) stored in variables MUST be ephemeral; actuator endpoints MUST be access-controlled.</t>
  </si>
  <si>
    <t>TA-18</t>
  </si>
  <si>
    <t>If the system is part of a product family/program line, common functionality MUST be abstracted, the shared layer MUST be clearly defined, and compatibility MUST be enforced.</t>
  </si>
  <si>
    <t>TA-19</t>
  </si>
  <si>
    <t>Availability, Resiliency and Fault Tolerance</t>
  </si>
  <si>
    <t>Resiliency MUST be designed into the architecture (e.g. caching, redundancy, immediate data persistence, replication, binary versioning, backward compatibility, Helm-managed rollout/rollback).</t>
  </si>
  <si>
    <t>TA-20</t>
  </si>
  <si>
    <t>A minimum set of functionality MUST remain available if a major component (e.g. the database) is unavailable.</t>
  </si>
  <si>
    <t>Graceful degradation should be defined for critical dependencies, but the application cannot always remain useful when a primary datastore is unavailable.</t>
  </si>
  <si>
    <t>TA-21</t>
  </si>
  <si>
    <t>The system MUST support retry logic for transient failures before surfacing errors to the end user.</t>
  </si>
  <si>
    <t>TA-22</t>
  </si>
  <si>
    <t>Idempotent operations MUST be identified and documented; such operations MUST be safely retryable.</t>
  </si>
  <si>
    <t>TA-23</t>
  </si>
  <si>
    <t>Redundancy and failover plans MUST exist, including defined data synchronisation frequency across zones.</t>
  </si>
  <si>
    <t>Applicable – Operations</t>
  </si>
  <si>
    <t>Valid requirement, but evidence is expected mainly through deployment/production readiness, operational procedures or runbooks rather than Design &amp; Define alone.</t>
  </si>
  <si>
    <t>TA-24</t>
  </si>
  <si>
    <t>A disaster recovery plan and a backup plan MUST exist, including backup frequency and retention period.</t>
  </si>
  <si>
    <t>TA-25</t>
  </si>
  <si>
    <t>The system MUST support circuit breaker functionality to prevent cascading failures (e.g. Hystrix, Steeltoe for .NET).</t>
  </si>
  <si>
    <t>Use circuit breakers only for suitable remote/dependency calls; the pattern is not mandatory for every component.</t>
  </si>
  <si>
    <t>TA-26</t>
  </si>
  <si>
    <t>APIs MUST be designed to tolerate extraneous or unexpected data input.</t>
  </si>
  <si>
    <t>TA-27</t>
  </si>
  <si>
    <t>Errors and faults MUST be clearly reported to users and aggregated/communicated back to data sources.</t>
  </si>
  <si>
    <t>TA-28</t>
  </si>
  <si>
    <t>The system SHOULD implement an event sourcing model for application state.</t>
  </si>
  <si>
    <t>COULD</t>
  </si>
  <si>
    <t>Event sourcing is an architectural pattern, not a default requirement. Use only when audit/history and state-transition needs justify the complexity.</t>
  </si>
  <si>
    <t>TA-29</t>
  </si>
  <si>
    <t>The system SHOULD support non-essential functionality being disabled under high load (equivalent to dark launch) to preserve responsiveness.</t>
  </si>
  <si>
    <t>Load shedding/degraded-mode capability is valuable only where workload and availability objectives justify it.</t>
  </si>
  <si>
    <t>TA-30</t>
  </si>
  <si>
    <t>Performance and Scalability</t>
  </si>
  <si>
    <t>Optimisation strategies MUST be defined, with documented maximum concurrent user capacity and maximum tolerable load.</t>
  </si>
  <si>
    <t>TA-31</t>
  </si>
  <si>
    <t>The system MUST be horizontally or vertically scalable; a pre-emptive orchestration process MUST be in place.</t>
  </si>
  <si>
    <t>Scalability is required, but pre-emptive orchestration should not be mandatory; reactive or scheduled scaling may be sufficient.</t>
  </si>
  <si>
    <t>TA-32</t>
  </si>
  <si>
    <t>Critical paths and most resource-intensive components MUST be identified.</t>
  </si>
  <si>
    <t>TA-33</t>
  </si>
  <si>
    <t>µ-services MUST be defined at the correct functional granularity to enable independent scalability.</t>
  </si>
  <si>
    <t>CONDITIONAL</t>
  </si>
  <si>
    <t>Only applicable if the target architecture uses microservices. Service boundaries should be driven by domain and scaling needs.</t>
  </si>
  <si>
    <t>TA-34</t>
  </si>
  <si>
    <t>µ-service guidelines/principles MUST be in place to enforce scalable characteristics of each service.</t>
  </si>
  <si>
    <t>Only applicable if the target architecture uses microservices; otherwise replace with general service/component design principles.</t>
  </si>
  <si>
    <t>TA-35</t>
  </si>
  <si>
    <t>A performance review process MUST exist, including a defined testing policy, tooling (e.g. JMeter) and frequency.</t>
  </si>
  <si>
    <t>TA-36</t>
  </si>
  <si>
    <t>A caching system MUST be in place (e.g. Memcache, Redis).</t>
  </si>
  <si>
    <t>Caching must not be mandated by default. Introduce caching only where performance analysis identifies a need.</t>
  </si>
  <si>
    <t>TA-37</t>
  </si>
  <si>
    <t>Intra µ-service traffic MUST be managed with routing, policy enforcement and security (e.g. Istio).</t>
  </si>
  <si>
    <t>A service mesh such as Istio is not a default requirement. Apply routing/policy/security controls appropriate to the chosen deployment model.</t>
  </si>
  <si>
    <t>TA-38</t>
  </si>
  <si>
    <t>Flow control mechanisms (e.g. Kafka at data ingestion) SHOULD be in place to handle demand spikes.</t>
  </si>
  <si>
    <t>Kafka or another flow-control mechanism is only needed for asynchronous/high-volume ingestion scenarios.</t>
  </si>
  <si>
    <t>TA-39</t>
  </si>
  <si>
    <t>Information and Data Architecture</t>
  </si>
  <si>
    <t>Data replication, persistence and sharding MUST be handled and guaranteed; sharding strategy MUST be documented.</t>
  </si>
  <si>
    <t>Persistence and integrity matter, but replication/sharding are context-dependent and should not be mandatory if the data scale does not require them.</t>
  </si>
  <si>
    <t>TA-40</t>
  </si>
  <si>
    <t>A schema update and versioning process MUST be established; data format evolution (e.g. AVRO schema evolution) MUST be documented.</t>
  </si>
  <si>
    <t>TA-41</t>
  </si>
  <si>
    <t>GDPR compliance MUST be in place, including edge cases such as restoring from backup after a GDPR deletion action.</t>
  </si>
  <si>
    <t>External Dependency</t>
  </si>
  <si>
    <t>Applicable, but confirmation/ownership sits partly outside the delivery team (e.g. Bain/TSG Security, Infra, Governance or organisational policy). Capture the dependency rather than treating the delivery team as sole owner.</t>
  </si>
  <si>
    <t>TA-42</t>
  </si>
  <si>
    <t>Data integrity MUST be enforced (e.g. file checksums).</t>
  </si>
  <si>
    <t>TA-43</t>
  </si>
  <si>
    <t>Security scanning MUST be performed on all data input (virus scanning, active content filtering).</t>
  </si>
  <si>
    <t>Malware/active-content scanning is relevant for file/content ingestion, not necessarily for every input field or API payload.</t>
  </si>
  <si>
    <t>TA-44</t>
  </si>
  <si>
    <t>The system MUST be protected against SQL injection (parameterised/prepared statements; no dynamic query concatenation).</t>
  </si>
  <si>
    <t>TA-45</t>
  </si>
  <si>
    <t>Data validation MUST be comprehensive, covering type, size, semantic and coherency checks.</t>
  </si>
  <si>
    <t>TA-46</t>
  </si>
  <si>
    <t>Financial transactions MUST use appropriate data types.</t>
  </si>
  <si>
    <t>N/A / CONDITIONAL</t>
  </si>
  <si>
    <t>Not Applicable / Conditional</t>
  </si>
  <si>
    <t>Only applicable if the product performs financial calculations or transactions.</t>
  </si>
  <si>
    <t>TA-47</t>
  </si>
  <si>
    <t>Jurisdictional limitations on data storage MUST be identified and complied with.</t>
  </si>
  <si>
    <t>TA-48</t>
  </si>
  <si>
    <t>The backup and disaster recovery process for data MUST be defined and documented.</t>
  </si>
  <si>
    <t>TA-49</t>
  </si>
  <si>
    <t>Eventual consistency trade-offs SHOULD be evaluated and documented for each applicable use case.</t>
  </si>
  <si>
    <t>TA-50</t>
  </si>
  <si>
    <t>Integrations and Extensibility</t>
  </si>
  <si>
    <t>All third-party system integrations MUST be documented.</t>
  </si>
  <si>
    <t>TA-51</t>
  </si>
  <si>
    <t>A platform API MUST be provided and documented; versioning cadence MUST be defined.</t>
  </si>
  <si>
    <t>Only applicable if AIPR is intended to expose a platform API. Internal APIs can still require documentation/versioning without defining a product platform API.</t>
  </si>
  <si>
    <t>TA-52</t>
  </si>
  <si>
    <t>API, SPI and plug-in points MUST be well documented and kept up to date.</t>
  </si>
  <si>
    <t>SPI/plugin documentation is only applicable if extension/plugin points exist.</t>
  </si>
  <si>
    <t>TA-53</t>
  </si>
  <si>
    <t>Compliance with the defined API MUST be enforced.</t>
  </si>
  <si>
    <t>TA-54</t>
  </si>
  <si>
    <t>Data formats and interaction methods MUST support extensibility; schemas MUST support data extension without breaking changes.</t>
  </si>
  <si>
    <t>TA-55</t>
  </si>
  <si>
    <t>Industry standards supported by the system MUST be documented, including their configuration, customisation and extension capabilities.</t>
  </si>
  <si>
    <t>Document only the external/industry standards actually applicable to the product.</t>
  </si>
  <si>
    <t>TA-56</t>
  </si>
  <si>
    <t>Deployment and Infrastructure</t>
  </si>
  <si>
    <t>The deployment process MUST be automated; manual steps MUST be minimised and documented.</t>
  </si>
  <si>
    <t>TA-57</t>
  </si>
  <si>
    <t>A rollback process MUST be in place (e.g. Helm chart–managed rollback).</t>
  </si>
  <si>
    <t>TA-58</t>
  </si>
  <si>
    <t>Zero or minimal downtime deployment MUST be targeted.</t>
  </si>
  <si>
    <t>TA-59</t>
  </si>
  <si>
    <t>A feature enablement process MUST be in place (e.g. dark launch), with decisions recorded, and segmentation options available at user, organisation or global level.</t>
  </si>
  <si>
    <t>Feature flags are useful, but user/organisation/global segmentation should be required only where product rollout needs it.</t>
  </si>
  <si>
    <t>TA-60</t>
  </si>
  <si>
    <t>Multiple deployment scenarios (on-premise, cloud, hybrid) MUST be supported with consistent tooling and scripts.</t>
  </si>
  <si>
    <t>Supporting on-prem, cloud and hybrid deployment is a product-scope decision, not a universal technical requirement.</t>
  </si>
  <si>
    <t>TA-61</t>
  </si>
  <si>
    <t>All cloud accounts MUST be enrolled under or have TSG as the parent organisation.</t>
  </si>
  <si>
    <t>TA-62</t>
  </si>
  <si>
    <t>The security pillar of the applicable cloud Well-Architected Framework (AWS or Azure) MUST be rigorously applied.</t>
  </si>
  <si>
    <t>TA-63</t>
  </si>
  <si>
    <t>Regulatory and Compliance</t>
  </si>
  <si>
    <t>The system MUST support all applicable regulatory compliance standards (e.g. Sarbanes-Oxley, GDPR).</t>
  </si>
  <si>
    <t>TA-64</t>
  </si>
  <si>
    <t>Contractual data requirements (e.g. data residency, filtering by user location) MUST be enforced by the system.</t>
  </si>
  <si>
    <t>TA-65</t>
  </si>
  <si>
    <t>The product MUST comply with Bain's Building Tools Hosting Sensitive Information Policy, Data Classification Policy, Client Privacy Policy, Key Management and Cryptography Policy, and Secure SDLC Policy.</t>
  </si>
  <si>
    <t>AD-01</t>
  </si>
  <si>
    <t>Application Design</t>
  </si>
  <si>
    <t>Accessibility and User Experience</t>
  </si>
  <si>
    <t>The solution MUST support accessibility, including screen reader compatibility, reduced vision support and partial colour-blindness accommodation.</t>
  </si>
  <si>
    <t>AD-02</t>
  </si>
  <si>
    <t>Where colour is used to communicate information, it MUST be augmented by additional cues (e.g. shapes, labels).</t>
  </si>
  <si>
    <t>AD-03</t>
  </si>
  <si>
    <t>The UI MUST be responsive across desktop, tablet and mobile viewports.</t>
  </si>
  <si>
    <t>AD-04</t>
  </si>
  <si>
    <t>The solution MUST have clearly defined actors, use cases, scenarios, workflows and storyboards.</t>
  </si>
  <si>
    <t>AD-05</t>
  </si>
  <si>
    <t>A process MUST exist to gather, aggregate, filter and prioritise user feedback.</t>
  </si>
  <si>
    <t>AD-06</t>
  </si>
  <si>
    <t>User Centred Design MUST be integrated with the development process; usability issues MUST be documented and communicated to stakeholders.</t>
  </si>
  <si>
    <t>AD-07</t>
  </si>
  <si>
    <t>Accessibility compliance MUST be tested regularly; the frequency and method of testing MUST be documented.</t>
  </si>
  <si>
    <t>AD-08</t>
  </si>
  <si>
    <t>Affordances of new widgets and interfaces MUST be analysed (cognitive, physical, sensory, functional) before release.</t>
  </si>
  <si>
    <t>AD-09</t>
  </si>
  <si>
    <t>Configuration and Customisation</t>
  </si>
  <si>
    <t>The system MUST support SSO through integration with a third-party Identity Provider (e.g. Azure AD, Okta), in addition to local authentication.</t>
  </si>
  <si>
    <t>MUST (SSO) / CONDITIONAL (local auth)</t>
  </si>
  <si>
    <t>SSO is appropriate for enterprise access. Requiring local authentication in addition to SSO can increase security and support burden and should not be mandatory unless there is a defined need.</t>
  </si>
  <si>
    <t>AD-10</t>
  </si>
  <si>
    <t>The system MUST support granular, role-based authorisation including native roles, custom roles and, where required, per-field level access control.</t>
  </si>
  <si>
    <t>MUST (RBAC) / CONDITIONAL (custom &amp; field-level)</t>
  </si>
  <si>
    <t>RBAC is important, but custom roles and field-level permissions should be driven by product requirements rather than mandated by default.</t>
  </si>
  <si>
    <t>AD-11</t>
  </si>
  <si>
    <t>The system SHOULD support customisation of forms, fields, workflows, business processes and reporting.</t>
  </si>
  <si>
    <t>Forms/workflow/report customisation is a product feature, not a general architecture requirement.</t>
  </si>
  <si>
    <t>AD-12</t>
  </si>
  <si>
    <t>A template approach for reuse and rapid deployment SHOULD be in place, with a defined template creation process.</t>
  </si>
  <si>
    <t>Template support is a product capability and should be driven by use cases.</t>
  </si>
  <si>
    <t>AD-13</t>
  </si>
  <si>
    <t>Mobility and Internationalisation</t>
  </si>
  <si>
    <t>If mobile access is required, the system MUST support it; known limitations on mobile MUST be documented.</t>
  </si>
  <si>
    <t>Conditional on mobile access being in scope.</t>
  </si>
  <si>
    <t>AD-14</t>
  </si>
  <si>
    <t>User-facing strings and API responses MUST be abstracted and parameterised to support localisation.</t>
  </si>
  <si>
    <t>SHOULD / CONDITIONAL</t>
  </si>
  <si>
    <t>Localisation abstraction is useful only if localisation/multi-language support is in scope or expected.</t>
  </si>
  <si>
    <t>AD-15</t>
  </si>
  <si>
    <t>The UI MUST support bi-directional text (bidi) if double-byte language environments are required.</t>
  </si>
  <si>
    <t>Conditional on RTL/bidi language support being in scope; “double-byte” and bidi are separate concerns.</t>
  </si>
  <si>
    <t>AD-16</t>
  </si>
  <si>
    <t>Interfaces and charts MUST be fully responsive on tablet and phone views.</t>
  </si>
  <si>
    <t>Responsive tablet/phone support should match the agreed supported-device scope.</t>
  </si>
  <si>
    <t>AD-17</t>
  </si>
  <si>
    <t>Supported browsers and versions MUST be documented.</t>
  </si>
  <si>
    <t>AD-18</t>
  </si>
  <si>
    <t>Native iOS and Android apps SHOULD be available or on the product roadmap if mobile access is required.</t>
  </si>
  <si>
    <t>COULD / CONDITIONAL</t>
  </si>
  <si>
    <t>Native mobile apps are not required merely because mobile browser access is needed.</t>
  </si>
  <si>
    <t>AD-19</t>
  </si>
  <si>
    <t>Access Control</t>
  </si>
  <si>
    <t>The system MUST NOT permit anonymous access.</t>
  </si>
  <si>
    <t>AD-20</t>
  </si>
  <si>
    <t>RBAC with defined separation of duties MUST be in place; each role MUST be assessed against the principle of least privilege.</t>
  </si>
  <si>
    <t>AD-21</t>
  </si>
  <si>
    <t>SSO and MFA MUST be set up for all user accounts.</t>
  </si>
  <si>
    <t>AD-22</t>
  </si>
  <si>
    <t>Unit and integration tests MUST cover ACL and access control scenarios.</t>
  </si>
  <si>
    <t>AD-23</t>
  </si>
  <si>
    <t>Organisation-level admin configuration SHOULD be available for access control delegation.</t>
  </si>
  <si>
    <t>Delegated organisation-level administration is a product/tenancy requirement, not a default access-control requirement.</t>
  </si>
  <si>
    <t>AD-24</t>
  </si>
  <si>
    <t>Reporting and Observability</t>
  </si>
  <si>
    <t>The system MUST support distributed tracing, log aggregation, audit logging and health checking.</t>
  </si>
  <si>
    <t>AD-25</t>
  </si>
  <si>
    <t>Log scrubbing and cleansing for sensitive data MUST be implemented.</t>
  </si>
  <si>
    <t>AD-26</t>
  </si>
  <si>
    <t>Customisable reports and dashboards SHOULD be available to users.</t>
  </si>
  <si>
    <t>User-facing custom reports/dashboards are product features and should be required only if supported by use cases.</t>
  </si>
  <si>
    <t>AD-27</t>
  </si>
  <si>
    <t>Native BI tool connectors (e.g. Tableau, Power BI) SHOULD be available.</t>
  </si>
  <si>
    <t>Native BI connectors are integration/product features and should be justified by reporting requirements.</t>
  </si>
  <si>
    <t>AD-28</t>
  </si>
  <si>
    <t>The system SHOULD support embedding third-party reports via iframes or SDKs.</t>
  </si>
  <si>
    <t>Embedding third-party reports is optional and should be driven by reporting architecture.</t>
  </si>
  <si>
    <t>CQ-01</t>
  </si>
  <si>
    <t>Code Quality</t>
  </si>
  <si>
    <t>Pipeline and Quality Gates</t>
  </si>
  <si>
    <t>Quality metrics MUST be enforced via the CI/CD pipeline, including code coverage thresholds, code smell checks and code style enforcement (e.g. SonarQube).</t>
  </si>
  <si>
    <t>CQ-02</t>
  </si>
  <si>
    <t>Security checks MUST be enforced by the pipeline; high and critical severity defects MUST block delivery.</t>
  </si>
  <si>
    <t>CQ-03</t>
  </si>
  <si>
    <t>License and dependency scanning MUST be enforced by the pipeline (e.g. npm audit, Snyk).</t>
  </si>
  <si>
    <t>CQ-04</t>
  </si>
  <si>
    <t>Static analysis checks MUST be enforced via the pipeline.</t>
  </si>
  <si>
    <t>CQ-05</t>
  </si>
  <si>
    <t>Unit and integration tests MUST run on every pull request.</t>
  </si>
  <si>
    <t>CQ-06</t>
  </si>
  <si>
    <t>OWASP ZAP dynamic scanning MUST run on every pull request (as a GitHub Action).</t>
  </si>
  <si>
    <t>DAST is valuable, but requiring OWASP ZAP on every pull request is tool- and cadence-specific. Define risk-based DAST in the pipeline instead.</t>
  </si>
  <si>
    <t>CQ-07</t>
  </si>
  <si>
    <t>Snyk or Wiz MUST run continuously (Bain is currently transitioning from Snyk to Wiz); SonarQube and CodeQL SHOULD run continuously.</t>
  </si>
  <si>
    <t>MUST / COULD</t>
  </si>
  <si>
    <t>MUST (capability) / TOOL TBD</t>
  </si>
  <si>
    <t>Security scanning is required, but specific vendor tools and continuous cadence should follow Bain platform standards and environment constraints.</t>
  </si>
  <si>
    <t>CQ-08</t>
  </si>
  <si>
    <t>GitHub Secret Scanning MUST be enabled and continuously active.</t>
  </si>
  <si>
    <t>MUST (capability) / PLATFORM TBD</t>
  </si>
  <si>
    <t>Secret scanning should be mandatory, but GitHub-specific implementation applies only if GitHub is the source-control platform.</t>
  </si>
  <si>
    <t>CQ-09</t>
  </si>
  <si>
    <t>A clear and definitive promotion process MUST be in place covering all environments (dev, QA, staging, production).</t>
  </si>
  <si>
    <t>CQ-10</t>
  </si>
  <si>
    <t>Artefact versioning MUST be supported (e.g. JFrog Artifactory).</t>
  </si>
  <si>
    <t>CQ-11</t>
  </si>
  <si>
    <t>Repository and Code Standards</t>
  </si>
  <si>
    <t>The main/master branch MUST be the definitive source of truth; branches MUST only be used for short-lived feature development.</t>
  </si>
  <si>
    <t>Protect the main branch and define a branching strategy; short-lived branches are a preferred practice, not universally mandatory.</t>
  </si>
  <si>
    <t>CQ-12</t>
  </si>
  <si>
    <t>Each component/µ-service MUST reside in its own repository.</t>
  </si>
  <si>
    <t>Repository-per-service is a source-control strategy, not a universal requirement. Monorepo and multi-repo models can both be valid.</t>
  </si>
  <si>
    <t>CQ-13</t>
  </si>
  <si>
    <t>Each repository MUST have a clear README documenting dependencies, input/output form and a reference to API documentation.</t>
  </si>
  <si>
    <t>CQ-14</t>
  </si>
  <si>
    <t>API documentation MUST be co-located with code (e.g. Swagger/OpenAPI).</t>
  </si>
  <si>
    <t>CQ-15</t>
  </si>
  <si>
    <t>Code MUST be traceable to the underlying story, epic, requirements document and UX designs via the SCM system.</t>
  </si>
  <si>
    <t>Traceability is valuable, but exact linkage from every code change to every artefact should be proportional to governance needs.</t>
  </si>
  <si>
    <t>CQ-16</t>
  </si>
  <si>
    <t>A standard code structure MUST be in place for each component/µ-service.</t>
  </si>
  <si>
    <t>CQ-17</t>
  </si>
  <si>
    <t>Adopted style guides and coding conventions MUST be documented and enforced.</t>
  </si>
  <si>
    <t>CQ-18</t>
  </si>
  <si>
    <t>A code review checklist MUST be in place; a developer manifesto SHOULD be documented.</t>
  </si>
  <si>
    <t>CQ-19</t>
  </si>
  <si>
    <t>Access to individual repositories SHOULD be restricted to the developers/teams assigned to those components.</t>
  </si>
  <si>
    <t>Least-privilege repository access is appropriate, but strict team-only repo isolation may hinder collaboration and is an organisational policy choice.</t>
  </si>
  <si>
    <t>CQ-20</t>
  </si>
  <si>
    <t>A defined API design process MUST be in place, adhering to specific standards (e.g. Google resource-based URLs, RESTful, GraphQL).</t>
  </si>
  <si>
    <t>CQ-21</t>
  </si>
  <si>
    <t>Secure Coding</t>
  </si>
  <si>
    <t>Parameterised and prepared statements MUST be used for all SQL; dynamic query construction via string concatenation is prohibited.</t>
  </si>
  <si>
    <t>Applicable only if SQL-based persistence is used.</t>
  </si>
  <si>
    <t>CQ-22</t>
  </si>
  <si>
    <t>Input validation (active content filtering), output encoding, error handling and logging MUST follow good security programming practice.</t>
  </si>
  <si>
    <t>CQ-23</t>
  </si>
  <si>
    <t>HTTPS MUST be enforced on all inter-service communication.</t>
  </si>
  <si>
    <t>CQ-24</t>
  </si>
  <si>
    <t>Sufficient API security controls MUST be in place: throttling, credential security, input validation, access control and replay vulnerability protection.</t>
  </si>
  <si>
    <t>CQ-25</t>
  </si>
  <si>
    <t>No internal, structural or technical information MUST be leaked via API responses; all exceptions MUST be logged with appropriate HTTP status codes.</t>
  </si>
  <si>
    <t>CQ-26</t>
  </si>
  <si>
    <t>A Content Security Policy MUST be implemented.</t>
  </si>
  <si>
    <t>Applicable to browser-based web applications; exact CSP policy depends on frontend architecture and embedded-content needs.</t>
  </si>
  <si>
    <t>CQ-27</t>
  </si>
  <si>
    <t>HTTP body size limits MUST be set per content-type middleware.</t>
  </si>
  <si>
    <t>Request/body size limits should be risk-based and endpoint/content-type specific, not a blanket arbitrary limit.</t>
  </si>
  <si>
    <t>CQ-28</t>
  </si>
  <si>
    <t>No deprecated packages or framework versions MUST be in use.</t>
  </si>
  <si>
    <t>CQ-29</t>
  </si>
  <si>
    <t>Applications MUST NOT run with root privileges.</t>
  </si>
  <si>
    <t>CQ-30</t>
  </si>
  <si>
    <t>Regex expressions MUST be protected against ReDoS attacks (e.g. using safe-regex).</t>
  </si>
  <si>
    <t>Applicable where complex/user-influenced regular expressions are used; use runtime timeouts or safe patterns as appropriate.</t>
  </si>
  <si>
    <t>CQ-31</t>
  </si>
  <si>
    <t>Redirect/forward parameters MUST NOT be used to reify destinations without protective constraints.</t>
  </si>
  <si>
    <t>Applicable only where redirect/forward parameters exist.</t>
  </si>
  <si>
    <t>CQ-32</t>
  </si>
  <si>
    <t>All functionality disabled via UI controls MUST also be disabled via API access.</t>
  </si>
  <si>
    <t>CQ-33</t>
  </si>
  <si>
    <t>Upload functionality MUST be segregated from core application logic to prevent zip bomb attacks.</t>
  </si>
  <si>
    <t>Applicable only if file/archive upload is supported. Controls should address zip bombs and content scanning without mandating a particular component split.</t>
  </si>
  <si>
    <t>CQ-34</t>
  </si>
  <si>
    <t>System passwords and access tokens MUST be stored securely and injected via pipeline secrets (AWS Secrets Manager / Azure Key Vault / Kubernetes Secrets); no credentials hardcoded.</t>
  </si>
  <si>
    <t>CQ-35</t>
  </si>
  <si>
    <t>Maintainability and Evolvability</t>
  </si>
  <si>
    <t>The system MUST be designed to facilitate change; decisions likely to change MUST be consistently abstracted.</t>
  </si>
  <si>
    <t>CQ-36</t>
  </si>
  <si>
    <t>Interfaces between major components MUST be formally defined.</t>
  </si>
  <si>
    <t>CQ-37</t>
  </si>
  <si>
    <t>Coupling between major components MUST be loose; DAO layer complexity MUST be controlled (minimal stored procedures, managed join depth).</t>
  </si>
  <si>
    <t>CQ-38</t>
  </si>
  <si>
    <t>The architecture SHOULD be technology-agnostic; tools to mitigate vendor lock-in SHOULD be used (e.g. MyBatis for DB abstraction).</t>
  </si>
  <si>
    <t>Avoid unnecessary lock-in where it provides business value, but technology agnosticism should not override use of managed cloud capabilities. MyBatis is not a general solution.</t>
  </si>
  <si>
    <t>CQ-39</t>
  </si>
  <si>
    <t>The data format in the service layer SHOULD be decoupled from the data format in the DB layer.</t>
  </si>
  <si>
    <t>Avoid leaking persistence models into service contracts, but separate DTO/domain models should be used where they add value rather than by mandate.</t>
  </si>
  <si>
    <t>CQ-40</t>
  </si>
  <si>
    <t>The current technology stack and versions in use MUST be documented.</t>
  </si>
  <si>
    <t>SD-01</t>
  </si>
  <si>
    <t>Software Dev Principles</t>
  </si>
  <si>
    <t>Security Culture and Practice</t>
  </si>
  <si>
    <t>The team MUST adhere to a standardised set of security best practices (OWASP guidelines).</t>
  </si>
  <si>
    <t>SD-02</t>
  </si>
  <si>
    <t>The team MUST periodically review the OWASP Top 10 and relevant security educational resources.</t>
  </si>
  <si>
    <t>SD-03</t>
  </si>
  <si>
    <t>Security training MUST be part of the on-boarding process for all new engineering employees.</t>
  </si>
  <si>
    <t>SD-04</t>
  </si>
  <si>
    <t>A threat modelling exercise MUST be conducted for the product.</t>
  </si>
  <si>
    <t>SD-05</t>
  </si>
  <si>
    <t>A full security risk assessment and a security architecture review with TSG Security MUST be conducted.</t>
  </si>
  <si>
    <t>SD-06</t>
  </si>
  <si>
    <t>Independent penetration testing MUST be conducted periodically (minimum annually via Rapid 7).</t>
  </si>
  <si>
    <t>SD-07</t>
  </si>
  <si>
    <t>A dedicated security champion SHOULD be assigned to the team and to security-related alerts in tooling.</t>
  </si>
  <si>
    <t>SD-08</t>
  </si>
  <si>
    <t>A secure review checklist SHOULD be in place as part of the development process.</t>
  </si>
  <si>
    <t>SD-09</t>
  </si>
  <si>
    <t>The team MUST be familiar with the TSG API Security Guidance and the TSG Secure Design Principles.</t>
  </si>
  <si>
    <t>SD-10</t>
  </si>
  <si>
    <t>The system MUST be designed with reference to the TSG Secure Design Principles; security MUST NOT rely on obscurity.</t>
  </si>
  <si>
    <t>SD-11</t>
  </si>
  <si>
    <t>The CI/CD pipeline MUST be configured to automatically block delivery for high or critical severity defects.</t>
  </si>
  <si>
    <t>SD-12</t>
  </si>
  <si>
    <t>Data and Privacy Principles</t>
  </si>
  <si>
    <t>Data MUST be encrypted at rest and in flight.</t>
  </si>
  <si>
    <t>SD-13</t>
  </si>
  <si>
    <t>No data MUST be stored on personal developer machines.</t>
  </si>
  <si>
    <t>SD-14</t>
  </si>
  <si>
    <t>No client data MUST be stored in repositories with shared access.</t>
  </si>
  <si>
    <t>SD-15</t>
  </si>
  <si>
    <t>Client data used for testing or development MUST have explicit client consent, a contractual agreement and sufficient anonymisation.</t>
  </si>
  <si>
    <t>SD-16</t>
  </si>
  <si>
    <t>A defined and approved process MUST be in place for client-to-client data segregation.</t>
  </si>
  <si>
    <t>SD-17</t>
  </si>
  <si>
    <t>GDPR protections MUST be applied: pseudo-anonymisation, data residency compliance, Subject Access Request compliance, and minimum necessary data usage.</t>
  </si>
  <si>
    <t>SD-18</t>
  </si>
  <si>
    <t>The Bain Data Classification Standards MUST be applied to all data handled by the product.</t>
  </si>
  <si>
    <t>SD-19</t>
  </si>
  <si>
    <t>When sending data to third-party services, logs and API calls MUST be scrubbed for PII; any exception requires TSG Security approval.</t>
  </si>
  <si>
    <t>SD-20</t>
  </si>
  <si>
    <t>No third-party service MUST have direct database or blob storage access without TSG Security approval.</t>
  </si>
  <si>
    <t>SD-21</t>
  </si>
  <si>
    <t>Production and non-production datasets MUST be strictly segregated.</t>
  </si>
  <si>
    <t>SD-22</t>
  </si>
  <si>
    <t>Publicly exposed artefacts (URLs, configurations, filenames, error codes, HTTP responses) MUST be periodically verified to contain no client names or confidential information.</t>
  </si>
  <si>
    <t>SD-23</t>
  </si>
  <si>
    <t>Developer Access and Credential Management</t>
  </si>
  <si>
    <t>RBAC with defined separation of duties MUST be in place across all systems.</t>
  </si>
  <si>
    <t>SD-24</t>
  </si>
  <si>
    <t>Developers MUST NOT use shared credentials to access resources.</t>
  </si>
  <si>
    <t>SD-25</t>
  </si>
  <si>
    <t>MFA MUST be required for individual access to all production systems.</t>
  </si>
  <si>
    <t>SD-26</t>
  </si>
  <si>
    <t>All service accounts MUST comply with TSG standards.</t>
  </si>
  <si>
    <t>SD-27</t>
  </si>
  <si>
    <t>Developer access to production machines and sensitive client information MUST be limited and controlled.</t>
  </si>
  <si>
    <t>SD-28</t>
  </si>
  <si>
    <t>Passwords and credentials MUST be rotated regularly (e.g. every 3 months).</t>
  </si>
  <si>
    <t>SD-29</t>
  </si>
  <si>
    <t>Full disk encryption MUST be enforced across development machines; OS and tool updates MUST be enforced.</t>
  </si>
  <si>
    <t>SD-30</t>
  </si>
  <si>
    <t>No product application MUST run with root privileges.</t>
  </si>
  <si>
    <t>SD-31</t>
  </si>
  <si>
    <t>Team Organisation and Knowledge Management</t>
  </si>
  <si>
    <t>Teams SHOULD be aligned with major system components; integration points between teams MUST be formally specified.</t>
  </si>
  <si>
    <t>SD-32</t>
  </si>
  <si>
    <t>Cross-cutting concerns MUST be enforced between teams (e.g. via chapter leads).</t>
  </si>
  <si>
    <t>SD-33</t>
  </si>
  <si>
    <t>Knowledge MUST be captured in wikis, documentation, diagrams, videos and tutorials; knowledge retention MUST be actively facilitated.</t>
  </si>
  <si>
    <t>SD-34</t>
  </si>
  <si>
    <t>Critical actors/single points of failure MUST be identified and mitigated through cross-training and documentation.</t>
  </si>
  <si>
    <t>SD-35</t>
  </si>
  <si>
    <t>Best practices and top-performer workflows MUST be captured and disseminated across the organisation.</t>
  </si>
  <si>
    <t>SD-36</t>
  </si>
  <si>
    <t>A process MUST be in place to avoid single points of failure in team knowledge and component ownership.</t>
  </si>
  <si>
    <t>SD-37</t>
  </si>
  <si>
    <t>All tools and technologies used MUST be approved; a Technology Risk Assessment (TRA) MUST be in place for each.</t>
  </si>
  <si>
    <t>SD-38</t>
  </si>
  <si>
    <t>A Vendor Risk Assessment MUST be in place for all third-party vendors, initiated at the beginning of first engagement.</t>
  </si>
  <si>
    <t>SD-39</t>
  </si>
  <si>
    <t>Development Process</t>
  </si>
  <si>
    <t>A structured software development process MUST be followed (e.g. Agile).</t>
  </si>
  <si>
    <t>SD-40</t>
  </si>
  <si>
    <t>Developers MUST have the ability to work independently against a representative local instantiation of the system.</t>
  </si>
  <si>
    <t>A fully representative local instantiation may be impractical for cloud-native/external-service-heavy systems. Developers need an effective local/test workflow, not necessarily the full system locally.</t>
  </si>
  <si>
    <t>SD-41</t>
  </si>
  <si>
    <t>A defined bug identification, reporting, triage and prioritisation process MUST be in place.</t>
  </si>
  <si>
    <t>SD-42</t>
  </si>
  <si>
    <t>Hot-fixes MUST be issued for critical bugs; high and critical security defects MUST be addressed in the sprint following discovery.</t>
  </si>
  <si>
    <t>MUST (risk-based SLA)</t>
  </si>
  <si>
    <t>Critical security issues need defined SLAs; “the following sprint” may be too slow or too rigid depending on severity.</t>
  </si>
  <si>
    <t>SD-43</t>
  </si>
  <si>
    <t>Architectural transformations MUST be documented with an assessment of risks and mitigation steps before execution.</t>
  </si>
  <si>
    <t>SD-44</t>
  </si>
  <si>
    <t>Technical debt from prior architectural transformations MUST be tracked and addressed.</t>
  </si>
  <si>
    <t>SD-45</t>
  </si>
  <si>
    <t>A backup strategy MUST be defined, including backup frequency, retention period and restoration process.</t>
  </si>
  <si>
    <t>SD-46</t>
  </si>
  <si>
    <t>Backups MUST be encrypted and access restricted to designated DevOps/Solutions Architects; restoration MUST NOT reintroduce outdated library or software versions.</t>
  </si>
  <si>
    <t>MUST (backup security only)</t>
  </si>
  <si>
    <t>Encryption/access control for backups is valid; preventing restoration of old library versions is not normally a backup responsibility and should be handled by deployment/patch management.</t>
  </si>
  <si>
    <t>SD-47</t>
  </si>
  <si>
    <t>An incident response plan MUST be defined and periodically exercised, aligned with the TSG Cyber Incident Management Policy.</t>
  </si>
  <si>
    <t>ARC v2 Architecture Assessment Tracker</t>
  </si>
  <si>
    <t>Sheet "Summary"</t>
  </si>
  <si>
    <t>Status \ Area</t>
  </si>
  <si>
    <t>Total</t>
  </si>
  <si>
    <t>Addressed</t>
  </si>
  <si>
    <t>Planned</t>
  </si>
  <si>
    <t>Open decision</t>
  </si>
  <si>
    <t>Needs security/infra review</t>
  </si>
  <si>
    <t>Gap</t>
  </si>
  <si>
    <t>Concern</t>
  </si>
  <si>
    <t>Disagreement</t>
  </si>
  <si>
    <t>N/A - confirm scope</t>
  </si>
  <si>
    <t>Count</t>
  </si>
  <si>
    <t>Echelon Eng</t>
  </si>
  <si>
    <t>Ridwan &amp; Corey</t>
  </si>
  <si>
    <t>Bain / Joy</t>
  </si>
  <si>
    <t>Design</t>
  </si>
  <si>
    <t>Architecture Review / Governance</t>
  </si>
  <si>
    <t>Key figures</t>
  </si>
  <si>
    <t>Total requirements</t>
  </si>
  <si>
    <t>MUST requirements</t>
  </si>
  <si>
    <t>MUST not yet Addressed / not N-A</t>
  </si>
  <si>
    <t>Concerns + Disagreements</t>
  </si>
  <si>
    <t>Gaps</t>
  </si>
  <si>
    <t>Items routed to Ridwan &amp; Corey</t>
  </si>
  <si>
    <t>Sheet "Action Items"</t>
  </si>
  <si>
    <t>Action Items — Concerns &amp; Disagreements</t>
  </si>
  <si>
    <t>Items  flagged red on the Tracker. Sorted: Concerns then Disagreements.</t>
  </si>
  <si>
    <t>Issue / Recommended action</t>
  </si>
  <si>
    <t>OppCat Architecture Assessment Tracker</t>
  </si>
  <si>
    <t>Last changed on: 22-Sept-2026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</si>
</sst>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\-??\ _€_-;_-@_-"/>
  </numFmts>
  <fonts count="24" x14ac:knownFonts="1">
    <font>
      <sz val="10"/>
      <color theme="1"/>
      <name val="Arial"/>
      <family val="2"/>
      <charset val="1"/>
    </font>
    <font>
      <i/>
      <sz val="10"/>
      <color theme="4"/>
      <name val="Arial"/>
      <family val="2"/>
      <charset val="1"/>
    </font>
    <font>
      <b/>
      <sz val="10"/>
      <color theme="7"/>
      <name val="Arial"/>
      <family val="2"/>
      <charset val="1"/>
    </font>
    <font>
      <b/>
      <sz val="10"/>
      <color theme="9"/>
      <name val="Arial"/>
      <family val="2"/>
      <charset val="1"/>
    </font>
    <font>
      <sz val="10"/>
      <color rgb="FF5E1D65"/>
      <name val="Arial"/>
      <family val="2"/>
      <charset val="1"/>
    </font>
    <font>
      <sz val="10"/>
      <color theme="5"/>
      <name val="Arial"/>
      <family val="2"/>
      <charset val="1"/>
    </font>
    <font>
      <b/>
      <sz val="10"/>
      <color theme="2"/>
      <name val="Arial"/>
      <family val="2"/>
      <charset val="1"/>
    </font>
    <font>
      <sz val="5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sz val="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FFFFFF"/>
      <name val="Arial"/>
      <family val="2"/>
    </font>
    <font>
      <u/>
      <sz val="10"/>
      <color theme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2"/>
      <name val="Arial"/>
      <family val="2"/>
      <charset val="1"/>
    </font>
    <font>
      <b/>
      <u/>
      <sz val="10"/>
      <color rgb="FF000000"/>
      <name val="Arial"/>
      <family val="2"/>
    </font>
    <font>
      <b/>
      <sz val="10"/>
      <name val="Arial"/>
      <family val="2"/>
      <charset val="1"/>
    </font>
    <font>
      <b/>
      <sz val="12"/>
      <color theme="2"/>
      <name val="Arial"/>
      <family val="2"/>
      <charset val="1"/>
    </font>
    <font>
      <b/>
      <sz val="10"/>
      <name val="Arial"/>
      <family val="2"/>
    </font>
    <font>
      <sz val="10"/>
      <color rgb="FF9C6500"/>
      <name val="Arial"/>
      <family val="2"/>
      <charset val="1"/>
    </font>
    <font>
      <sz val="10"/>
      <color rgb="FF007932"/>
      <name val="Arial"/>
      <family val="2"/>
      <charset val="1"/>
    </font>
    <font>
      <sz val="10"/>
      <color theme="3"/>
      <name val="Arial"/>
      <family val="2"/>
      <charset val="1"/>
    </font>
    <font>
      <sz val="10"/>
      <color theme="1"/>
      <name val="Arial"/>
      <family val="2"/>
      <charset val="1"/>
    </font>
    <font>
      <i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89013336588644"/>
        <bgColor rgb="FFDAE6E1"/>
      </patternFill>
    </fill>
    <fill>
      <patternFill patternType="solid">
        <fgColor theme="9" tint="0.79989013336588644"/>
        <bgColor rgb="FFD7E0E8"/>
      </patternFill>
    </fill>
    <fill>
      <patternFill patternType="solid">
        <fgColor theme="3"/>
        <bgColor rgb="FF800000"/>
      </patternFill>
    </fill>
    <fill>
      <patternFill patternType="solid">
        <fgColor theme="0"/>
        <bgColor rgb="FFD7E0E8"/>
      </patternFill>
    </fill>
    <fill>
      <patternFill patternType="solid">
        <fgColor theme="2"/>
        <bgColor rgb="FFFFFFCC"/>
      </patternFill>
    </fill>
    <fill>
      <patternFill patternType="solid">
        <fgColor theme="5"/>
        <bgColor rgb="FF46647B"/>
      </patternFill>
    </fill>
    <fill>
      <patternFill patternType="solid">
        <fgColor theme="4"/>
        <bgColor rgb="FFB5CDC3"/>
      </patternFill>
    </fill>
    <fill>
      <patternFill patternType="solid">
        <fgColor rgb="FFFFEB9C"/>
        <bgColor rgb="FFFFFFCC"/>
      </patternFill>
    </fill>
    <fill>
      <patternFill patternType="solid">
        <fgColor theme="9" tint="0.59987182226020086"/>
        <bgColor rgb="FFB4B4B4"/>
      </patternFill>
    </fill>
    <fill>
      <patternFill patternType="solid">
        <fgColor theme="3" tint="0.79989013336588644"/>
        <bgColor rgb="FFD6D6D6"/>
      </patternFill>
    </fill>
  </fills>
  <borders count="1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9">
    <xf numFmtId="0" fontId="0" fillId="0" borderId="0"/>
    <xf numFmtId="0" fontId="12" fillId="0" borderId="0"/>
    <xf numFmtId="0" fontId="22" fillId="0" borderId="0"/>
    <xf numFmtId="164" fontId="22" fillId="0" borderId="0"/>
    <xf numFmtId="0" fontId="1" fillId="0" borderId="0">
      <protection locked="0"/>
    </xf>
    <xf numFmtId="0" fontId="2" fillId="2" borderId="0">
      <protection locked="0"/>
    </xf>
    <xf numFmtId="0" fontId="3" fillId="3" borderId="0">
      <protection locked="0"/>
    </xf>
    <xf numFmtId="0" fontId="4" fillId="0" borderId="0"/>
    <xf numFmtId="0" fontId="5" fillId="0" borderId="0"/>
    <xf numFmtId="0" fontId="6" fillId="4" borderId="0"/>
    <xf numFmtId="0" fontId="10" fillId="0" borderId="0"/>
    <xf numFmtId="0" fontId="10" fillId="5" borderId="1">
      <alignment horizontal="center" vertical="center"/>
    </xf>
    <xf numFmtId="0" fontId="16" fillId="6" borderId="0">
      <alignment horizontal="left"/>
    </xf>
    <xf numFmtId="0" fontId="17" fillId="7" borderId="1">
      <alignment horizontal="center" vertical="center"/>
    </xf>
    <xf numFmtId="0" fontId="6" fillId="8" borderId="1">
      <alignment horizontal="center" vertical="center"/>
    </xf>
    <xf numFmtId="0" fontId="19" fillId="9" borderId="0"/>
    <xf numFmtId="0" fontId="20" fillId="10" borderId="0"/>
    <xf numFmtId="0" fontId="21" fillId="11" borderId="0"/>
    <xf numFmtId="0" fontId="22" fillId="0" borderId="0"/>
  </cellStyleXfs>
  <cellXfs count="65">
    <xf numFmtId="0" fontId="0" fillId="0" borderId="0" xfId="0"/>
    <xf numFmtId="0" fontId="6" fillId="8" borderId="1" xfId="14">
      <alignment horizontal="center" vertical="center"/>
    </xf>
    <xf numFmtId="0" fontId="10" fillId="0" borderId="0" xfId="10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0" borderId="0" xfId="0" applyFont="1" applyAlignment="1">
      <alignment horizontal="center" vertical="center"/>
    </xf>
    <xf numFmtId="0" fontId="0" fillId="0" borderId="6" xfId="0" applyBorder="1"/>
    <xf numFmtId="0" fontId="9" fillId="0" borderId="0" xfId="0" applyFont="1"/>
    <xf numFmtId="0" fontId="9" fillId="6" borderId="7" xfId="0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0" borderId="6" xfId="10" applyBorder="1"/>
    <xf numFmtId="0" fontId="5" fillId="0" borderId="6" xfId="0" applyFont="1" applyBorder="1" applyAlignment="1">
      <alignment horizontal="center" vertical="center" wrapText="1"/>
    </xf>
    <xf numFmtId="0" fontId="10" fillId="5" borderId="1" xfId="11">
      <alignment horizontal="center" vertical="center"/>
    </xf>
    <xf numFmtId="0" fontId="10" fillId="5" borderId="10" xfId="11" applyBorder="1">
      <alignment horizontal="center" vertical="center"/>
    </xf>
    <xf numFmtId="0" fontId="0" fillId="0" borderId="11" xfId="0" applyBorder="1"/>
    <xf numFmtId="0" fontId="11" fillId="0" borderId="5" xfId="0" applyFont="1" applyBorder="1"/>
    <xf numFmtId="0" fontId="12" fillId="6" borderId="1" xfId="1" applyFill="1" applyBorder="1"/>
    <xf numFmtId="0" fontId="13" fillId="0" borderId="0" xfId="0" applyFont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6" borderId="1" xfId="10" applyFont="1" applyFill="1" applyBorder="1" applyAlignment="1">
      <alignment vertical="center"/>
    </xf>
    <xf numFmtId="0" fontId="14" fillId="0" borderId="5" xfId="0" applyFont="1" applyBorder="1"/>
    <xf numFmtId="0" fontId="14" fillId="0" borderId="12" xfId="0" applyFont="1" applyBorder="1"/>
    <xf numFmtId="0" fontId="10" fillId="0" borderId="13" xfId="1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/>
    <xf numFmtId="0" fontId="15" fillId="0" borderId="0" xfId="0" applyFont="1"/>
    <xf numFmtId="0" fontId="16" fillId="6" borderId="0" xfId="12">
      <alignment horizontal="left"/>
    </xf>
    <xf numFmtId="0" fontId="0" fillId="0" borderId="8" xfId="0" applyBorder="1"/>
    <xf numFmtId="0" fontId="1" fillId="0" borderId="0" xfId="4">
      <protection locked="0"/>
    </xf>
    <xf numFmtId="0" fontId="6" fillId="8" borderId="1" xfId="14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4" applyAlignment="1">
      <alignment horizontal="left" vertical="top" wrapText="1"/>
      <protection locked="0"/>
    </xf>
    <xf numFmtId="0" fontId="19" fillId="9" borderId="0" xfId="15" applyAlignment="1">
      <alignment horizontal="center" vertical="top" wrapText="1"/>
    </xf>
    <xf numFmtId="0" fontId="20" fillId="10" borderId="0" xfId="16" applyAlignment="1">
      <alignment horizontal="center" vertical="top" wrapText="1"/>
    </xf>
    <xf numFmtId="0" fontId="6" fillId="4" borderId="0" xfId="9" applyAlignment="1">
      <alignment horizontal="center" vertical="top" wrapText="1"/>
    </xf>
    <xf numFmtId="0" fontId="21" fillId="11" borderId="0" xfId="17" applyAlignment="1">
      <alignment horizontal="center" vertical="top" wrapText="1"/>
    </xf>
    <xf numFmtId="0" fontId="6" fillId="8" borderId="1" xfId="14" applyAlignment="1">
      <alignment vertical="top" wrapText="1"/>
    </xf>
    <xf numFmtId="0" fontId="20" fillId="10" borderId="0" xfId="16"/>
    <xf numFmtId="0" fontId="0" fillId="0" borderId="0" xfId="18" applyFont="1"/>
    <xf numFmtId="0" fontId="19" fillId="9" borderId="0" xfId="15"/>
    <xf numFmtId="0" fontId="21" fillId="11" borderId="0" xfId="17"/>
    <xf numFmtId="0" fontId="6" fillId="4" borderId="0" xfId="9"/>
    <xf numFmtId="0" fontId="6" fillId="4" borderId="0" xfId="9" applyAlignment="1">
      <alignment horizontal="left" vertical="top" wrapText="1"/>
    </xf>
    <xf numFmtId="0" fontId="6" fillId="8" borderId="15" xfId="14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23" fillId="0" borderId="0" xfId="0" applyFont="1"/>
    <xf numFmtId="0" fontId="0" fillId="0" borderId="16" xfId="0" applyBorder="1"/>
    <xf numFmtId="0" fontId="0" fillId="0" borderId="17" xfId="0" applyBorder="1"/>
    <xf numFmtId="0" fontId="6" fillId="8" borderId="1" xfId="0" applyFont="1" applyFill="1" applyBorder="1" applyAlignment="1">
      <alignment horizontal="center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19" fillId="9" borderId="0" xfId="0" applyFont="1" applyFill="1" applyAlignment="1">
      <alignment horizontal="center" vertical="top" wrapText="1"/>
    </xf>
    <xf numFmtId="0" fontId="17" fillId="7" borderId="1" xfId="13">
      <alignment horizontal="center" vertical="center"/>
    </xf>
    <xf numFmtId="0" fontId="0" fillId="0" borderId="16" xfId="0" applyBorder="1"/>
    <xf numFmtId="0" fontId="0" fillId="0" borderId="0" xfId="0"/>
    <xf numFmtId="0" fontId="10" fillId="0" borderId="0" xfId="10"/>
    <xf numFmtId="0" fontId="5" fillId="0" borderId="0" xfId="0" applyFont="1" applyAlignment="1">
      <alignment horizontal="center" vertical="center" wrapText="1"/>
    </xf>
    <xf numFmtId="0" fontId="6" fillId="8" borderId="1" xfId="14">
      <alignment horizontal="center" vertical="center"/>
    </xf>
    <xf numFmtId="0" fontId="0" fillId="0" borderId="17" xfId="0" applyBorder="1"/>
  </cellXfs>
  <cellStyles count="19">
    <cellStyle name="Calculation" xfId="2" xr:uid="{00000000-0005-0000-0000-000002000000}"/>
    <cellStyle name="Check Cell" xfId="3" xr:uid="{00000000-0005-0000-0000-000003000000}"/>
    <cellStyle name="Comment" xfId="4" xr:uid="{00000000-0005-0000-0000-000004000000}"/>
    <cellStyle name="Excel Built-in Bad" xfId="17" xr:uid="{00000000-0005-0000-0000-000011000000}"/>
    <cellStyle name="Excel Built-in Calculation" xfId="18" xr:uid="{00000000-0005-0000-0000-000012000000}"/>
    <cellStyle name="Excel Built-in Good" xfId="16" xr:uid="{00000000-0005-0000-0000-000010000000}"/>
    <cellStyle name="Excel Built-in Heading 1" xfId="13" xr:uid="{00000000-0005-0000-0000-00000D000000}"/>
    <cellStyle name="Excel Built-in Heading 2" xfId="14" xr:uid="{00000000-0005-0000-0000-00000E000000}"/>
    <cellStyle name="Excel Built-in Heading 3" xfId="11" xr:uid="{00000000-0005-0000-0000-00000B000000}"/>
    <cellStyle name="Excel Built-in Neutral" xfId="15" xr:uid="{00000000-0005-0000-0000-00000F000000}"/>
    <cellStyle name="Excel Built-in Title" xfId="12" xr:uid="{00000000-0005-0000-0000-00000C000000}"/>
    <cellStyle name="Excel Built-in Total" xfId="10" xr:uid="{00000000-0005-0000-0000-00000A000000}"/>
    <cellStyle name="Hyperlink" xfId="1" builtinId="8"/>
    <cellStyle name="Input: Assumption" xfId="5" xr:uid="{00000000-0005-0000-0000-000005000000}"/>
    <cellStyle name="Input: Fact" xfId="6" xr:uid="{00000000-0005-0000-0000-000006000000}"/>
    <cellStyle name="Link: other file" xfId="7" xr:uid="{00000000-0005-0000-0000-000007000000}"/>
    <cellStyle name="Link: other sheet" xfId="8" xr:uid="{00000000-0005-0000-0000-000008000000}"/>
    <cellStyle name="Normal" xfId="0" builtinId="0"/>
    <cellStyle name="Warning 1" xfId="9" xr:uid="{00000000-0005-0000-0000-000009000000}"/>
  </cellStyles>
  <dxfs count="4">
    <dxf>
      <font>
        <b/>
        <color rgb="FF507867"/>
      </font>
      <fill>
        <patternFill>
          <bgColor theme="9" tint="0.79989013336588644"/>
        </patternFill>
      </fill>
    </dxf>
    <dxf>
      <font>
        <b/>
        <color rgb="FF46647B"/>
      </font>
      <fill>
        <patternFill>
          <bgColor theme="7" tint="0.79989013336588644"/>
        </patternFill>
      </fill>
    </dxf>
    <dxf>
      <font>
        <b/>
        <color rgb="FFFFFFFF"/>
      </font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7932"/>
      <rgbColor rgb="FF000080"/>
      <rgbColor rgb="FF9C6500"/>
      <rgbColor rgb="FF800080"/>
      <rgbColor rgb="FF008080"/>
      <rgbColor rgb="FFB5CDC3"/>
      <rgbColor rgb="FF507867"/>
      <rgbColor rgb="FF9999FF"/>
      <rgbColor rgb="FF993366"/>
      <rgbColor rgb="FFFFFFCC"/>
      <rgbColor rgb="FFD7E0E8"/>
      <rgbColor rgb="FF5E1D65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E6E1"/>
      <rgbColor rgb="FFFFEB9C"/>
      <rgbColor rgb="FF99CCFF"/>
      <rgbColor rgb="FFFF99CC"/>
      <rgbColor rgb="FFCC99FF"/>
      <rgbColor rgb="FFFFC2C2"/>
      <rgbColor rgb="FF3366FF"/>
      <rgbColor rgb="FF33CCCC"/>
      <rgbColor rgb="FF99CC00"/>
      <rgbColor rgb="FFFFCC00"/>
      <rgbColor rgb="FFFF9900"/>
      <rgbColor rgb="FFFF6600"/>
      <rgbColor rgb="FF46647B"/>
      <rgbColor rgb="FFB4B4B4"/>
      <rgbColor rgb="FF003366"/>
      <rgbColor rgb="FF339966"/>
      <rgbColor rgb="FF003300"/>
      <rgbColor rgb="FF333300"/>
      <rgbColor rgb="FF993300"/>
      <rgbColor rgb="FF993366"/>
      <rgbColor rgb="FF333399"/>
      <rgbColor rgb="FF5C5C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1 - Bain A4">
  <a:themeElements>
    <a:clrScheme name="Bain Excel Core">
      <a:dk1>
        <a:srgbClr val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</a:majorFont>
      <a:minorFont>
        <a:latin typeface="Arial" panose="020B06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  <pageSetUpPr fitToPage="1"/>
  </sheetPr>
  <dimension ref="A1:K24"/>
  <sheetViews>
    <sheetView showGridLines="0" showRowColHeaders="0" zoomScale="200" zoomScaleNormal="100" workbookViewId="0">
      <selection activeCell="C8" sqref="C8:E8"/>
    </sheetView>
  </sheetViews>
  <sheetFormatPr baseColWidth="10" defaultColWidth="0" defaultRowHeight="13" zeroHeight="1" x14ac:dyDescent="0.15"/>
  <cols>
    <col min="1" max="2" width="1.5" customWidth="1"/>
    <col min="3" max="3" width="25.6640625" customWidth="1"/>
    <col min="4" max="4" width="57.1640625" customWidth="1"/>
    <col min="5" max="5" width="19.33203125" customWidth="1"/>
    <col min="6" max="7" width="1.5" customWidth="1"/>
    <col min="8" max="8" width="9.1640625" hidden="1" customWidth="1"/>
    <col min="9" max="9" width="17.33203125" hidden="1" customWidth="1"/>
    <col min="10" max="11" width="11.5" hidden="1" customWidth="1"/>
    <col min="12" max="12" width="9.1640625" hidden="1" customWidth="1"/>
    <col min="13" max="16384" width="9.1640625" hidden="1"/>
  </cols>
  <sheetData>
    <row r="1" spans="2:9" s="3" customFormat="1" ht="8.25" customHeight="1" x14ac:dyDescent="0.15"/>
    <row r="2" spans="2:9" ht="21" customHeight="1" x14ac:dyDescent="0.15">
      <c r="B2" s="4"/>
      <c r="C2" s="5"/>
      <c r="D2" s="5"/>
      <c r="E2" s="5"/>
      <c r="F2" s="6"/>
      <c r="I2" t="s">
        <v>0</v>
      </c>
    </row>
    <row r="3" spans="2:9" ht="21" customHeight="1" x14ac:dyDescent="0.15">
      <c r="B3" s="7"/>
      <c r="E3" s="8" t="s">
        <v>1</v>
      </c>
      <c r="F3" s="9"/>
      <c r="I3" t="s">
        <v>2</v>
      </c>
    </row>
    <row r="4" spans="2:9" x14ac:dyDescent="0.15">
      <c r="B4" s="7"/>
      <c r="F4" s="9"/>
      <c r="I4" t="s">
        <v>3</v>
      </c>
    </row>
    <row r="5" spans="2:9" s="10" customFormat="1" ht="6" customHeight="1" x14ac:dyDescent="0.1">
      <c r="B5" s="11"/>
      <c r="C5" s="12"/>
      <c r="D5" s="12"/>
      <c r="E5" s="12"/>
      <c r="F5" s="13"/>
      <c r="I5" s="10" t="s">
        <v>4</v>
      </c>
    </row>
    <row r="6" spans="2:9" ht="6" customHeight="1" x14ac:dyDescent="0.15">
      <c r="B6" s="7"/>
      <c r="F6" s="9"/>
      <c r="I6" t="s">
        <v>5</v>
      </c>
    </row>
    <row r="7" spans="2:9" x14ac:dyDescent="0.15">
      <c r="B7" s="7"/>
      <c r="C7" s="61" t="s">
        <v>531</v>
      </c>
      <c r="D7" s="60"/>
      <c r="E7" s="60"/>
      <c r="F7" s="14"/>
    </row>
    <row r="8" spans="2:9" x14ac:dyDescent="0.15">
      <c r="B8" s="7"/>
      <c r="C8" s="60" t="s">
        <v>6</v>
      </c>
      <c r="D8" s="60"/>
      <c r="E8" s="60"/>
      <c r="F8" s="9"/>
    </row>
    <row r="9" spans="2:9" x14ac:dyDescent="0.15">
      <c r="B9" s="7"/>
      <c r="F9" s="9"/>
    </row>
    <row r="10" spans="2:9" ht="66.75" customHeight="1" x14ac:dyDescent="0.15">
      <c r="B10" s="7"/>
      <c r="C10" s="62" t="s">
        <v>7</v>
      </c>
      <c r="D10" s="60"/>
      <c r="E10" s="60"/>
      <c r="F10" s="15"/>
    </row>
    <row r="11" spans="2:9" x14ac:dyDescent="0.15">
      <c r="B11" s="7"/>
      <c r="F11" s="9"/>
    </row>
    <row r="12" spans="2:9" ht="15" customHeight="1" x14ac:dyDescent="0.15">
      <c r="B12" s="7"/>
      <c r="C12" s="16" t="s">
        <v>8</v>
      </c>
      <c r="D12" s="16" t="s">
        <v>9</v>
      </c>
      <c r="E12" s="17" t="s">
        <v>10</v>
      </c>
      <c r="F12" s="18"/>
    </row>
    <row r="13" spans="2:9" ht="15" customHeight="1" x14ac:dyDescent="0.15">
      <c r="B13" s="19" t="s">
        <v>11</v>
      </c>
      <c r="C13" s="20" t="s">
        <v>12</v>
      </c>
      <c r="D13" s="21" t="s">
        <v>13</v>
      </c>
      <c r="E13" s="22" t="s">
        <v>5</v>
      </c>
      <c r="F13" s="9"/>
    </row>
    <row r="14" spans="2:9" ht="15" customHeight="1" x14ac:dyDescent="0.15">
      <c r="B14" s="19" t="s">
        <v>14</v>
      </c>
      <c r="C14" s="23" t="s">
        <v>15</v>
      </c>
      <c r="D14" s="21" t="s">
        <v>16</v>
      </c>
      <c r="E14" s="22" t="s">
        <v>5</v>
      </c>
      <c r="F14" s="9"/>
    </row>
    <row r="15" spans="2:9" ht="15" customHeight="1" x14ac:dyDescent="0.15">
      <c r="B15" s="19" t="s">
        <v>17</v>
      </c>
      <c r="C15" s="23" t="s">
        <v>18</v>
      </c>
      <c r="D15" s="21" t="s">
        <v>19</v>
      </c>
      <c r="E15" s="22" t="s">
        <v>5</v>
      </c>
      <c r="F15" s="9"/>
    </row>
    <row r="16" spans="2:9" ht="15" customHeight="1" x14ac:dyDescent="0.15">
      <c r="B16" s="24"/>
      <c r="C16" s="23"/>
      <c r="D16" s="21"/>
      <c r="E16" s="22"/>
      <c r="F16" s="9"/>
    </row>
    <row r="17" spans="2:6" ht="15" customHeight="1" x14ac:dyDescent="0.15">
      <c r="B17" s="24"/>
      <c r="C17" s="23"/>
      <c r="D17" s="21"/>
      <c r="E17" s="22"/>
      <c r="F17" s="9"/>
    </row>
    <row r="18" spans="2:6" ht="15" customHeight="1" x14ac:dyDescent="0.15">
      <c r="B18" s="24"/>
      <c r="C18" s="23"/>
      <c r="D18" s="21"/>
      <c r="E18" s="22"/>
      <c r="F18" s="9"/>
    </row>
    <row r="19" spans="2:6" ht="15" customHeight="1" x14ac:dyDescent="0.15">
      <c r="B19" s="24"/>
      <c r="C19" s="23"/>
      <c r="D19" s="21"/>
      <c r="E19" s="22"/>
      <c r="F19" s="9"/>
    </row>
    <row r="20" spans="2:6" ht="15" customHeight="1" x14ac:dyDescent="0.15">
      <c r="B20" s="24"/>
      <c r="C20" s="23"/>
      <c r="D20" s="21"/>
      <c r="E20" s="22"/>
      <c r="F20" s="9"/>
    </row>
    <row r="21" spans="2:6" ht="15" customHeight="1" x14ac:dyDescent="0.15">
      <c r="B21" s="24"/>
      <c r="C21" s="23"/>
      <c r="D21" s="21"/>
      <c r="E21" s="22"/>
      <c r="F21" s="9"/>
    </row>
    <row r="22" spans="2:6" ht="15" customHeight="1" x14ac:dyDescent="0.15">
      <c r="B22" s="24"/>
      <c r="C22" s="23"/>
      <c r="D22" s="21"/>
      <c r="E22" s="22"/>
      <c r="F22" s="9"/>
    </row>
    <row r="23" spans="2:6" ht="15" customHeight="1" x14ac:dyDescent="0.15">
      <c r="B23" s="25"/>
      <c r="C23" s="26"/>
      <c r="D23" s="27"/>
      <c r="E23" s="27"/>
      <c r="F23" s="28"/>
    </row>
    <row r="24" spans="2:6" s="3" customFormat="1" ht="8.25" customHeight="1" x14ac:dyDescent="0.15"/>
  </sheetData>
  <mergeCells count="3">
    <mergeCell ref="C7:E7"/>
    <mergeCell ref="C8:E8"/>
    <mergeCell ref="C10:E10"/>
  </mergeCells>
  <conditionalFormatting sqref="E13:E23">
    <cfRule type="cellIs" dxfId="3" priority="2" operator="equal">
      <formula>"Calculation"</formula>
    </cfRule>
    <cfRule type="cellIs" dxfId="2" priority="3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  <formula2>0</formula2>
    </dataValidation>
  </dataValidations>
  <hyperlinks>
    <hyperlink ref="C13" location="'Sheet1'!A1" display="Tracker" xr:uid="{00000000-0004-0000-0000-000000000000}"/>
  </hyperlinks>
  <printOptions horizontalCentered="1"/>
  <pageMargins left="0.23611111111111099" right="0.23611111111111099" top="0.74791666666666701" bottom="0.7479166666666670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V189"/>
  <sheetViews>
    <sheetView showGridLines="0" tabSelected="1" zoomScale="215" zoomScaleNormal="15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5" sqref="B5"/>
    </sheetView>
  </sheetViews>
  <sheetFormatPr baseColWidth="10" defaultColWidth="8.6640625" defaultRowHeight="13" x14ac:dyDescent="0.15"/>
  <cols>
    <col min="1" max="1" width="2.83203125" customWidth="1"/>
    <col min="2" max="2" width="8" customWidth="1"/>
    <col min="3" max="3" width="16" customWidth="1"/>
    <col min="4" max="4" width="22" customWidth="1"/>
    <col min="5" max="5" width="52" customWidth="1"/>
    <col min="6" max="6" width="11" customWidth="1"/>
    <col min="7" max="7" width="18" customWidth="1"/>
    <col min="8" max="8" width="25" customWidth="1"/>
    <col min="9" max="9" width="17.33203125" customWidth="1"/>
    <col min="10" max="10" width="27.1640625" customWidth="1"/>
    <col min="11" max="11" width="20" customWidth="1"/>
    <col min="12" max="12" width="22" style="50" customWidth="1"/>
    <col min="13" max="13" width="48" customWidth="1"/>
    <col min="14" max="14" width="46" customWidth="1"/>
    <col min="15" max="15" width="27.5" customWidth="1"/>
  </cols>
  <sheetData>
    <row r="1" spans="1:22" ht="5.25" customHeight="1" x14ac:dyDescent="0.15"/>
    <row r="2" spans="1:22" x14ac:dyDescent="0.15">
      <c r="B2" s="29" t="str">
        <f>Index!BtfeHeaderWorkbookTitle</f>
        <v>OppCat Architecture Assessment Tracker</v>
      </c>
    </row>
    <row r="3" spans="1:22" x14ac:dyDescent="0.15">
      <c r="B3" s="30" t="s">
        <v>20</v>
      </c>
    </row>
    <row r="4" spans="1:22" x14ac:dyDescent="0.15">
      <c r="B4" s="30" t="s">
        <v>532</v>
      </c>
      <c r="F4" s="30" t="s">
        <v>1</v>
      </c>
    </row>
    <row r="5" spans="1:22" ht="6" customHeight="1" x14ac:dyDescent="0.15">
      <c r="A5" s="31"/>
      <c r="B5" s="31"/>
      <c r="C5" s="31"/>
      <c r="D5" s="31"/>
      <c r="E5" s="31"/>
      <c r="F5" s="31"/>
      <c r="I5" s="31"/>
      <c r="J5" s="31"/>
      <c r="K5" s="31"/>
      <c r="L5" s="31"/>
      <c r="N5" s="31"/>
      <c r="O5" s="51"/>
      <c r="P5" s="31"/>
      <c r="Q5" s="31"/>
      <c r="R5" s="31"/>
      <c r="S5" s="31"/>
      <c r="T5" s="31"/>
      <c r="U5" s="31"/>
      <c r="V5" s="31"/>
    </row>
    <row r="7" spans="1:22" ht="16" customHeight="1" x14ac:dyDescent="0.15">
      <c r="B7" s="58" t="s">
        <v>21</v>
      </c>
      <c r="C7" s="59"/>
      <c r="D7" s="59"/>
      <c r="E7" s="59"/>
      <c r="F7" s="59"/>
      <c r="G7" s="60"/>
      <c r="H7" s="60"/>
      <c r="I7" s="59"/>
      <c r="J7" s="59"/>
      <c r="K7" s="59"/>
      <c r="L7" s="53"/>
      <c r="N7" s="54"/>
    </row>
    <row r="8" spans="1:22" x14ac:dyDescent="0.15">
      <c r="B8" s="32" t="s">
        <v>22</v>
      </c>
      <c r="J8" s="52" t="s">
        <v>23</v>
      </c>
    </row>
    <row r="9" spans="1:22" ht="14" customHeight="1" x14ac:dyDescent="0.15">
      <c r="B9" s="33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55" t="s">
        <v>29</v>
      </c>
      <c r="H9" s="55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55" t="s">
        <v>35</v>
      </c>
      <c r="N9" s="33" t="s">
        <v>36</v>
      </c>
      <c r="O9" s="49" t="s">
        <v>37</v>
      </c>
    </row>
    <row r="10" spans="1:22" ht="54" customHeight="1" x14ac:dyDescent="0.15">
      <c r="B10" s="34" t="s">
        <v>38</v>
      </c>
      <c r="C10" s="35" t="s">
        <v>39</v>
      </c>
      <c r="D10" s="35" t="s">
        <v>40</v>
      </c>
      <c r="E10" s="36" t="s">
        <v>41</v>
      </c>
      <c r="F10" s="37" t="s">
        <v>42</v>
      </c>
      <c r="G10" s="56" t="s">
        <v>42</v>
      </c>
      <c r="H10" s="57" t="s">
        <v>43</v>
      </c>
      <c r="I10" s="37"/>
      <c r="J10" s="38"/>
      <c r="K10" s="35"/>
      <c r="L10" s="37"/>
      <c r="M10" s="57" t="s">
        <v>44</v>
      </c>
      <c r="N10" s="35"/>
    </row>
    <row r="11" spans="1:22" ht="54" customHeight="1" x14ac:dyDescent="0.15">
      <c r="B11" s="34" t="s">
        <v>45</v>
      </c>
      <c r="C11" s="35" t="s">
        <v>39</v>
      </c>
      <c r="D11" s="35" t="s">
        <v>40</v>
      </c>
      <c r="E11" s="36" t="s">
        <v>46</v>
      </c>
      <c r="F11" s="37" t="s">
        <v>42</v>
      </c>
      <c r="G11" s="56" t="s">
        <v>42</v>
      </c>
      <c r="H11" s="57" t="s">
        <v>43</v>
      </c>
      <c r="I11" s="37"/>
      <c r="J11" s="38"/>
      <c r="K11" s="35"/>
      <c r="L11" s="37"/>
      <c r="M11" s="57" t="s">
        <v>44</v>
      </c>
      <c r="N11" s="35"/>
    </row>
    <row r="12" spans="1:22" ht="54" customHeight="1" x14ac:dyDescent="0.15">
      <c r="B12" s="34" t="s">
        <v>47</v>
      </c>
      <c r="C12" s="35" t="s">
        <v>39</v>
      </c>
      <c r="D12" s="35" t="s">
        <v>40</v>
      </c>
      <c r="E12" s="36" t="s">
        <v>48</v>
      </c>
      <c r="F12" s="37" t="s">
        <v>42</v>
      </c>
      <c r="G12" s="56" t="s">
        <v>42</v>
      </c>
      <c r="H12" s="57" t="s">
        <v>43</v>
      </c>
      <c r="I12" s="37"/>
      <c r="J12" s="39"/>
      <c r="K12" s="35"/>
      <c r="L12" s="37"/>
      <c r="M12" s="57" t="s">
        <v>44</v>
      </c>
      <c r="N12" s="35"/>
    </row>
    <row r="13" spans="1:22" ht="54" customHeight="1" x14ac:dyDescent="0.15">
      <c r="B13" s="34" t="s">
        <v>49</v>
      </c>
      <c r="C13" s="35" t="s">
        <v>39</v>
      </c>
      <c r="D13" s="35" t="s">
        <v>40</v>
      </c>
      <c r="E13" s="36" t="s">
        <v>50</v>
      </c>
      <c r="F13" s="37" t="s">
        <v>42</v>
      </c>
      <c r="G13" s="56" t="s">
        <v>51</v>
      </c>
      <c r="H13" s="57" t="s">
        <v>52</v>
      </c>
      <c r="I13" s="37"/>
      <c r="J13" s="39"/>
      <c r="K13" s="35"/>
      <c r="L13" s="37"/>
      <c r="M13" s="57" t="s">
        <v>53</v>
      </c>
      <c r="N13" s="35"/>
    </row>
    <row r="14" spans="1:22" ht="54" customHeight="1" x14ac:dyDescent="0.15">
      <c r="B14" s="34" t="s">
        <v>54</v>
      </c>
      <c r="C14" s="35" t="s">
        <v>39</v>
      </c>
      <c r="D14" s="35" t="s">
        <v>40</v>
      </c>
      <c r="E14" s="36" t="s">
        <v>55</v>
      </c>
      <c r="F14" s="37" t="s">
        <v>42</v>
      </c>
      <c r="G14" s="56" t="s">
        <v>51</v>
      </c>
      <c r="H14" s="57" t="s">
        <v>52</v>
      </c>
      <c r="I14" s="37"/>
      <c r="J14" s="39"/>
      <c r="K14" s="35"/>
      <c r="L14" s="37"/>
      <c r="M14" s="57" t="s">
        <v>56</v>
      </c>
      <c r="N14" s="35"/>
    </row>
    <row r="15" spans="1:22" ht="54" customHeight="1" x14ac:dyDescent="0.15">
      <c r="B15" s="34" t="s">
        <v>57</v>
      </c>
      <c r="C15" s="35" t="s">
        <v>39</v>
      </c>
      <c r="D15" s="35" t="s">
        <v>40</v>
      </c>
      <c r="E15" s="36" t="s">
        <v>58</v>
      </c>
      <c r="F15" s="37" t="s">
        <v>42</v>
      </c>
      <c r="G15" s="56" t="s">
        <v>42</v>
      </c>
      <c r="H15" s="57" t="s">
        <v>43</v>
      </c>
      <c r="I15" s="37"/>
      <c r="J15" s="39"/>
      <c r="K15" s="35"/>
      <c r="L15" s="37"/>
      <c r="M15" s="57" t="s">
        <v>44</v>
      </c>
      <c r="N15" s="35"/>
    </row>
    <row r="16" spans="1:22" ht="54" customHeight="1" x14ac:dyDescent="0.15">
      <c r="B16" s="34" t="s">
        <v>59</v>
      </c>
      <c r="C16" s="35" t="s">
        <v>39</v>
      </c>
      <c r="D16" s="35" t="s">
        <v>40</v>
      </c>
      <c r="E16" s="36" t="s">
        <v>60</v>
      </c>
      <c r="F16" s="37" t="s">
        <v>42</v>
      </c>
      <c r="G16" s="56" t="s">
        <v>42</v>
      </c>
      <c r="H16" s="57" t="s">
        <v>61</v>
      </c>
      <c r="I16" s="37"/>
      <c r="J16" s="38"/>
      <c r="K16" s="35"/>
      <c r="L16" s="37"/>
      <c r="M16" s="57" t="s">
        <v>62</v>
      </c>
      <c r="N16" s="35"/>
    </row>
    <row r="17" spans="2:14" ht="54" customHeight="1" x14ac:dyDescent="0.15">
      <c r="B17" s="34" t="s">
        <v>63</v>
      </c>
      <c r="C17" s="35" t="s">
        <v>39</v>
      </c>
      <c r="D17" s="35" t="s">
        <v>40</v>
      </c>
      <c r="E17" s="36" t="s">
        <v>64</v>
      </c>
      <c r="F17" s="37" t="s">
        <v>42</v>
      </c>
      <c r="G17" s="56" t="s">
        <v>42</v>
      </c>
      <c r="H17" s="57" t="s">
        <v>43</v>
      </c>
      <c r="I17" s="37"/>
      <c r="J17" s="39"/>
      <c r="K17" s="35"/>
      <c r="L17" s="37"/>
      <c r="M17" s="57" t="s">
        <v>44</v>
      </c>
      <c r="N17" s="35"/>
    </row>
    <row r="18" spans="2:14" ht="54" customHeight="1" x14ac:dyDescent="0.15">
      <c r="B18" s="34" t="s">
        <v>65</v>
      </c>
      <c r="C18" s="35" t="s">
        <v>39</v>
      </c>
      <c r="D18" s="35" t="s">
        <v>40</v>
      </c>
      <c r="E18" s="36" t="s">
        <v>66</v>
      </c>
      <c r="F18" s="37" t="s">
        <v>42</v>
      </c>
      <c r="G18" s="56" t="s">
        <v>51</v>
      </c>
      <c r="H18" s="57" t="s">
        <v>52</v>
      </c>
      <c r="I18" s="37"/>
      <c r="J18" s="39"/>
      <c r="K18" s="35"/>
      <c r="L18" s="37"/>
      <c r="M18" s="57" t="s">
        <v>67</v>
      </c>
      <c r="N18" s="35"/>
    </row>
    <row r="19" spans="2:14" ht="54" customHeight="1" x14ac:dyDescent="0.15">
      <c r="B19" s="34" t="s">
        <v>68</v>
      </c>
      <c r="C19" s="35" t="s">
        <v>39</v>
      </c>
      <c r="D19" s="35" t="s">
        <v>40</v>
      </c>
      <c r="E19" s="36" t="s">
        <v>69</v>
      </c>
      <c r="F19" s="37" t="s">
        <v>42</v>
      </c>
      <c r="G19" s="56" t="s">
        <v>51</v>
      </c>
      <c r="H19" s="57" t="s">
        <v>52</v>
      </c>
      <c r="I19" s="37"/>
      <c r="J19" s="39"/>
      <c r="K19" s="35"/>
      <c r="L19" s="37"/>
      <c r="M19" s="57" t="s">
        <v>70</v>
      </c>
      <c r="N19" s="35"/>
    </row>
    <row r="20" spans="2:14" ht="54" customHeight="1" x14ac:dyDescent="0.15">
      <c r="B20" s="34" t="s">
        <v>71</v>
      </c>
      <c r="C20" s="35" t="s">
        <v>39</v>
      </c>
      <c r="D20" s="35" t="s">
        <v>40</v>
      </c>
      <c r="E20" s="36" t="s">
        <v>72</v>
      </c>
      <c r="F20" s="37" t="s">
        <v>42</v>
      </c>
      <c r="G20" s="56" t="s">
        <v>51</v>
      </c>
      <c r="H20" s="57" t="s">
        <v>52</v>
      </c>
      <c r="I20" s="37"/>
      <c r="J20" s="39"/>
      <c r="K20" s="35"/>
      <c r="L20" s="37"/>
      <c r="M20" s="57" t="s">
        <v>73</v>
      </c>
      <c r="N20" s="35"/>
    </row>
    <row r="21" spans="2:14" ht="54" customHeight="1" x14ac:dyDescent="0.15">
      <c r="B21" s="34" t="s">
        <v>74</v>
      </c>
      <c r="C21" s="35" t="s">
        <v>39</v>
      </c>
      <c r="D21" s="35" t="s">
        <v>40</v>
      </c>
      <c r="E21" s="36" t="s">
        <v>75</v>
      </c>
      <c r="F21" s="37" t="s">
        <v>42</v>
      </c>
      <c r="G21" s="56" t="s">
        <v>42</v>
      </c>
      <c r="H21" s="57" t="s">
        <v>61</v>
      </c>
      <c r="I21" s="37"/>
      <c r="J21" s="39"/>
      <c r="K21" s="35"/>
      <c r="L21" s="37"/>
      <c r="M21" s="57" t="s">
        <v>62</v>
      </c>
      <c r="N21" s="35"/>
    </row>
    <row r="22" spans="2:14" ht="54" customHeight="1" x14ac:dyDescent="0.15">
      <c r="B22" s="34" t="s">
        <v>76</v>
      </c>
      <c r="C22" s="35" t="s">
        <v>39</v>
      </c>
      <c r="D22" s="35" t="s">
        <v>40</v>
      </c>
      <c r="E22" s="36" t="s">
        <v>77</v>
      </c>
      <c r="F22" s="37" t="s">
        <v>42</v>
      </c>
      <c r="G22" s="56" t="s">
        <v>42</v>
      </c>
      <c r="H22" s="57" t="s">
        <v>43</v>
      </c>
      <c r="I22" s="37"/>
      <c r="J22" s="38"/>
      <c r="K22" s="35"/>
      <c r="L22" s="37"/>
      <c r="M22" s="57" t="s">
        <v>44</v>
      </c>
      <c r="N22" s="35"/>
    </row>
    <row r="23" spans="2:14" ht="54" customHeight="1" x14ac:dyDescent="0.15">
      <c r="B23" s="34" t="s">
        <v>78</v>
      </c>
      <c r="C23" s="35" t="s">
        <v>39</v>
      </c>
      <c r="D23" s="35" t="s">
        <v>40</v>
      </c>
      <c r="E23" s="36" t="s">
        <v>79</v>
      </c>
      <c r="F23" s="37" t="s">
        <v>42</v>
      </c>
      <c r="G23" s="56" t="s">
        <v>51</v>
      </c>
      <c r="H23" s="57" t="s">
        <v>52</v>
      </c>
      <c r="I23" s="37"/>
      <c r="J23" s="39"/>
      <c r="K23" s="35"/>
      <c r="L23" s="37"/>
      <c r="M23" s="57" t="s">
        <v>80</v>
      </c>
      <c r="N23" s="35"/>
    </row>
    <row r="24" spans="2:14" ht="54" customHeight="1" x14ac:dyDescent="0.15">
      <c r="B24" s="34" t="s">
        <v>81</v>
      </c>
      <c r="C24" s="35" t="s">
        <v>39</v>
      </c>
      <c r="D24" s="35" t="s">
        <v>40</v>
      </c>
      <c r="E24" s="36" t="s">
        <v>82</v>
      </c>
      <c r="F24" s="37" t="s">
        <v>42</v>
      </c>
      <c r="G24" s="56" t="s">
        <v>42</v>
      </c>
      <c r="H24" s="57" t="s">
        <v>61</v>
      </c>
      <c r="I24" s="37"/>
      <c r="J24" s="39"/>
      <c r="K24" s="35"/>
      <c r="L24" s="37"/>
      <c r="M24" s="57" t="s">
        <v>62</v>
      </c>
      <c r="N24" s="35"/>
    </row>
    <row r="25" spans="2:14" ht="54" customHeight="1" x14ac:dyDescent="0.15">
      <c r="B25" s="34" t="s">
        <v>83</v>
      </c>
      <c r="C25" s="35" t="s">
        <v>39</v>
      </c>
      <c r="D25" s="35" t="s">
        <v>40</v>
      </c>
      <c r="E25" s="36" t="s">
        <v>84</v>
      </c>
      <c r="F25" s="37" t="s">
        <v>42</v>
      </c>
      <c r="G25" s="56" t="s">
        <v>42</v>
      </c>
      <c r="H25" s="57" t="s">
        <v>43</v>
      </c>
      <c r="I25" s="37"/>
      <c r="J25" s="39"/>
      <c r="K25" s="35"/>
      <c r="L25" s="37"/>
      <c r="M25" s="57" t="s">
        <v>44</v>
      </c>
      <c r="N25" s="35"/>
    </row>
    <row r="26" spans="2:14" ht="54" customHeight="1" x14ac:dyDescent="0.15">
      <c r="B26" s="34" t="s">
        <v>85</v>
      </c>
      <c r="C26" s="35" t="s">
        <v>39</v>
      </c>
      <c r="D26" s="35" t="s">
        <v>40</v>
      </c>
      <c r="E26" s="36" t="s">
        <v>86</v>
      </c>
      <c r="F26" s="37" t="s">
        <v>42</v>
      </c>
      <c r="G26" s="56" t="s">
        <v>42</v>
      </c>
      <c r="H26" s="57" t="s">
        <v>61</v>
      </c>
      <c r="I26" s="37"/>
      <c r="J26" s="39"/>
      <c r="K26" s="35"/>
      <c r="L26" s="37"/>
      <c r="M26" s="57" t="s">
        <v>62</v>
      </c>
      <c r="N26" s="35"/>
    </row>
    <row r="27" spans="2:14" ht="54" customHeight="1" x14ac:dyDescent="0.15">
      <c r="B27" s="34" t="s">
        <v>87</v>
      </c>
      <c r="C27" s="35" t="s">
        <v>39</v>
      </c>
      <c r="D27" s="35" t="s">
        <v>40</v>
      </c>
      <c r="E27" s="36" t="s">
        <v>88</v>
      </c>
      <c r="F27" s="37" t="s">
        <v>51</v>
      </c>
      <c r="G27" s="56" t="s">
        <v>51</v>
      </c>
      <c r="H27" s="57" t="s">
        <v>43</v>
      </c>
      <c r="I27" s="37"/>
      <c r="J27" s="40"/>
      <c r="K27" s="35"/>
      <c r="L27" s="37"/>
      <c r="M27" s="57" t="s">
        <v>44</v>
      </c>
      <c r="N27" s="35"/>
    </row>
    <row r="28" spans="2:14" ht="54" customHeight="1" x14ac:dyDescent="0.15">
      <c r="B28" s="34" t="s">
        <v>89</v>
      </c>
      <c r="C28" s="35" t="s">
        <v>39</v>
      </c>
      <c r="D28" s="35" t="s">
        <v>90</v>
      </c>
      <c r="E28" s="36" t="s">
        <v>91</v>
      </c>
      <c r="F28" s="37" t="s">
        <v>42</v>
      </c>
      <c r="G28" s="56" t="s">
        <v>42</v>
      </c>
      <c r="H28" s="57" t="s">
        <v>43</v>
      </c>
      <c r="I28" s="37"/>
      <c r="J28" s="38"/>
      <c r="K28" s="35"/>
      <c r="L28" s="37"/>
      <c r="M28" s="57" t="s">
        <v>44</v>
      </c>
      <c r="N28" s="35"/>
    </row>
    <row r="29" spans="2:14" ht="54" customHeight="1" x14ac:dyDescent="0.15">
      <c r="B29" s="34" t="s">
        <v>92</v>
      </c>
      <c r="C29" s="35" t="s">
        <v>39</v>
      </c>
      <c r="D29" s="35" t="s">
        <v>90</v>
      </c>
      <c r="E29" s="36" t="s">
        <v>93</v>
      </c>
      <c r="F29" s="37" t="s">
        <v>42</v>
      </c>
      <c r="G29" s="56" t="s">
        <v>51</v>
      </c>
      <c r="H29" s="57" t="s">
        <v>52</v>
      </c>
      <c r="I29" s="37"/>
      <c r="J29" s="38"/>
      <c r="K29" s="35"/>
      <c r="L29" s="37"/>
      <c r="M29" s="57" t="s">
        <v>94</v>
      </c>
      <c r="N29" s="35"/>
    </row>
    <row r="30" spans="2:14" ht="54" customHeight="1" x14ac:dyDescent="0.15">
      <c r="B30" s="34" t="s">
        <v>95</v>
      </c>
      <c r="C30" s="35" t="s">
        <v>39</v>
      </c>
      <c r="D30" s="35" t="s">
        <v>90</v>
      </c>
      <c r="E30" s="36" t="s">
        <v>96</v>
      </c>
      <c r="F30" s="37" t="s">
        <v>42</v>
      </c>
      <c r="G30" s="56" t="s">
        <v>42</v>
      </c>
      <c r="H30" s="57" t="s">
        <v>61</v>
      </c>
      <c r="I30" s="37"/>
      <c r="J30" s="39"/>
      <c r="K30" s="35"/>
      <c r="L30" s="37"/>
      <c r="M30" s="57" t="s">
        <v>62</v>
      </c>
      <c r="N30" s="35"/>
    </row>
    <row r="31" spans="2:14" ht="54" customHeight="1" x14ac:dyDescent="0.15">
      <c r="B31" s="34" t="s">
        <v>97</v>
      </c>
      <c r="C31" s="35" t="s">
        <v>39</v>
      </c>
      <c r="D31" s="35" t="s">
        <v>90</v>
      </c>
      <c r="E31" s="36" t="s">
        <v>98</v>
      </c>
      <c r="F31" s="37" t="s">
        <v>42</v>
      </c>
      <c r="G31" s="56" t="s">
        <v>42</v>
      </c>
      <c r="H31" s="57" t="s">
        <v>43</v>
      </c>
      <c r="I31" s="37"/>
      <c r="J31" s="39"/>
      <c r="K31" s="35"/>
      <c r="L31" s="37"/>
      <c r="M31" s="57" t="s">
        <v>44</v>
      </c>
      <c r="N31" s="35"/>
    </row>
    <row r="32" spans="2:14" ht="54" customHeight="1" x14ac:dyDescent="0.15">
      <c r="B32" s="34" t="s">
        <v>99</v>
      </c>
      <c r="C32" s="35" t="s">
        <v>39</v>
      </c>
      <c r="D32" s="35" t="s">
        <v>90</v>
      </c>
      <c r="E32" s="36" t="s">
        <v>100</v>
      </c>
      <c r="F32" s="37" t="s">
        <v>42</v>
      </c>
      <c r="G32" s="56" t="s">
        <v>42</v>
      </c>
      <c r="H32" s="57" t="s">
        <v>101</v>
      </c>
      <c r="I32" s="37"/>
      <c r="J32" s="38"/>
      <c r="K32" s="35"/>
      <c r="L32" s="37"/>
      <c r="M32" s="57" t="s">
        <v>102</v>
      </c>
      <c r="N32" s="35"/>
    </row>
    <row r="33" spans="2:14" ht="54" customHeight="1" x14ac:dyDescent="0.15">
      <c r="B33" s="34" t="s">
        <v>103</v>
      </c>
      <c r="C33" s="35" t="s">
        <v>39</v>
      </c>
      <c r="D33" s="35" t="s">
        <v>90</v>
      </c>
      <c r="E33" s="36" t="s">
        <v>104</v>
      </c>
      <c r="F33" s="37" t="s">
        <v>42</v>
      </c>
      <c r="G33" s="56" t="s">
        <v>42</v>
      </c>
      <c r="H33" s="57" t="s">
        <v>101</v>
      </c>
      <c r="I33" s="37"/>
      <c r="J33" s="38"/>
      <c r="K33" s="35"/>
      <c r="L33" s="37"/>
      <c r="M33" s="57" t="s">
        <v>102</v>
      </c>
      <c r="N33" s="35"/>
    </row>
    <row r="34" spans="2:14" ht="54" customHeight="1" x14ac:dyDescent="0.15">
      <c r="B34" s="34" t="s">
        <v>105</v>
      </c>
      <c r="C34" s="35" t="s">
        <v>39</v>
      </c>
      <c r="D34" s="35" t="s">
        <v>90</v>
      </c>
      <c r="E34" s="36" t="s">
        <v>106</v>
      </c>
      <c r="F34" s="37" t="s">
        <v>42</v>
      </c>
      <c r="G34" s="56" t="s">
        <v>51</v>
      </c>
      <c r="H34" s="57" t="s">
        <v>52</v>
      </c>
      <c r="I34" s="37"/>
      <c r="J34" s="40"/>
      <c r="K34" s="35"/>
      <c r="L34" s="37"/>
      <c r="M34" s="57" t="s">
        <v>107</v>
      </c>
      <c r="N34" s="35"/>
    </row>
    <row r="35" spans="2:14" ht="54" customHeight="1" x14ac:dyDescent="0.15">
      <c r="B35" s="34" t="s">
        <v>108</v>
      </c>
      <c r="C35" s="35" t="s">
        <v>39</v>
      </c>
      <c r="D35" s="35" t="s">
        <v>90</v>
      </c>
      <c r="E35" s="36" t="s">
        <v>109</v>
      </c>
      <c r="F35" s="37" t="s">
        <v>42</v>
      </c>
      <c r="G35" s="56" t="s">
        <v>42</v>
      </c>
      <c r="H35" s="57" t="s">
        <v>61</v>
      </c>
      <c r="I35" s="37"/>
      <c r="J35" s="39"/>
      <c r="K35" s="35"/>
      <c r="L35" s="37"/>
      <c r="M35" s="57" t="s">
        <v>62</v>
      </c>
      <c r="N35" s="35"/>
    </row>
    <row r="36" spans="2:14" ht="54" customHeight="1" x14ac:dyDescent="0.15">
      <c r="B36" s="34" t="s">
        <v>110</v>
      </c>
      <c r="C36" s="35" t="s">
        <v>39</v>
      </c>
      <c r="D36" s="35" t="s">
        <v>90</v>
      </c>
      <c r="E36" s="36" t="s">
        <v>111</v>
      </c>
      <c r="F36" s="37" t="s">
        <v>42</v>
      </c>
      <c r="G36" s="56" t="s">
        <v>42</v>
      </c>
      <c r="H36" s="57" t="s">
        <v>61</v>
      </c>
      <c r="I36" s="37"/>
      <c r="J36" s="39"/>
      <c r="K36" s="35"/>
      <c r="L36" s="37"/>
      <c r="M36" s="57" t="s">
        <v>62</v>
      </c>
      <c r="N36" s="35"/>
    </row>
    <row r="37" spans="2:14" ht="54" customHeight="1" x14ac:dyDescent="0.15">
      <c r="B37" s="34" t="s">
        <v>112</v>
      </c>
      <c r="C37" s="35" t="s">
        <v>39</v>
      </c>
      <c r="D37" s="35" t="s">
        <v>90</v>
      </c>
      <c r="E37" s="36" t="s">
        <v>113</v>
      </c>
      <c r="F37" s="37" t="s">
        <v>51</v>
      </c>
      <c r="G37" s="56" t="s">
        <v>114</v>
      </c>
      <c r="H37" s="57" t="s">
        <v>52</v>
      </c>
      <c r="I37" s="37"/>
      <c r="J37" s="38"/>
      <c r="K37" s="35"/>
      <c r="L37" s="37"/>
      <c r="M37" s="57" t="s">
        <v>115</v>
      </c>
      <c r="N37" s="35"/>
    </row>
    <row r="38" spans="2:14" ht="54" customHeight="1" x14ac:dyDescent="0.15">
      <c r="B38" s="34" t="s">
        <v>116</v>
      </c>
      <c r="C38" s="35" t="s">
        <v>39</v>
      </c>
      <c r="D38" s="35" t="s">
        <v>90</v>
      </c>
      <c r="E38" s="36" t="s">
        <v>117</v>
      </c>
      <c r="F38" s="37" t="s">
        <v>51</v>
      </c>
      <c r="G38" s="56" t="s">
        <v>114</v>
      </c>
      <c r="H38" s="57" t="s">
        <v>52</v>
      </c>
      <c r="I38" s="37"/>
      <c r="J38" s="41"/>
      <c r="K38" s="35"/>
      <c r="L38" s="37"/>
      <c r="M38" s="57" t="s">
        <v>118</v>
      </c>
      <c r="N38" s="35"/>
    </row>
    <row r="39" spans="2:14" ht="54" customHeight="1" x14ac:dyDescent="0.15">
      <c r="B39" s="34" t="s">
        <v>119</v>
      </c>
      <c r="C39" s="35" t="s">
        <v>39</v>
      </c>
      <c r="D39" s="35" t="s">
        <v>120</v>
      </c>
      <c r="E39" s="36" t="s">
        <v>121</v>
      </c>
      <c r="F39" s="37" t="s">
        <v>42</v>
      </c>
      <c r="G39" s="56" t="s">
        <v>42</v>
      </c>
      <c r="H39" s="57" t="s">
        <v>101</v>
      </c>
      <c r="I39" s="37"/>
      <c r="J39" s="38"/>
      <c r="K39" s="35"/>
      <c r="L39" s="37"/>
      <c r="M39" s="57" t="s">
        <v>102</v>
      </c>
      <c r="N39" s="35"/>
    </row>
    <row r="40" spans="2:14" ht="54" customHeight="1" x14ac:dyDescent="0.15">
      <c r="B40" s="34" t="s">
        <v>122</v>
      </c>
      <c r="C40" s="35" t="s">
        <v>39</v>
      </c>
      <c r="D40" s="35" t="s">
        <v>120</v>
      </c>
      <c r="E40" s="36" t="s">
        <v>123</v>
      </c>
      <c r="F40" s="37" t="s">
        <v>42</v>
      </c>
      <c r="G40" s="56" t="s">
        <v>51</v>
      </c>
      <c r="H40" s="57" t="s">
        <v>52</v>
      </c>
      <c r="I40" s="37"/>
      <c r="J40" s="39"/>
      <c r="K40" s="35"/>
      <c r="L40" s="37"/>
      <c r="M40" s="57" t="s">
        <v>124</v>
      </c>
      <c r="N40" s="35"/>
    </row>
    <row r="41" spans="2:14" ht="54" customHeight="1" x14ac:dyDescent="0.15">
      <c r="B41" s="34" t="s">
        <v>125</v>
      </c>
      <c r="C41" s="35" t="s">
        <v>39</v>
      </c>
      <c r="D41" s="35" t="s">
        <v>120</v>
      </c>
      <c r="E41" s="36" t="s">
        <v>126</v>
      </c>
      <c r="F41" s="37" t="s">
        <v>42</v>
      </c>
      <c r="G41" s="56" t="s">
        <v>42</v>
      </c>
      <c r="H41" s="57" t="s">
        <v>43</v>
      </c>
      <c r="I41" s="37"/>
      <c r="J41" s="38"/>
      <c r="K41" s="35"/>
      <c r="L41" s="37"/>
      <c r="M41" s="57" t="s">
        <v>44</v>
      </c>
      <c r="N41" s="35"/>
    </row>
    <row r="42" spans="2:14" ht="54" customHeight="1" x14ac:dyDescent="0.15">
      <c r="B42" s="34" t="s">
        <v>127</v>
      </c>
      <c r="C42" s="35" t="s">
        <v>39</v>
      </c>
      <c r="D42" s="35" t="s">
        <v>120</v>
      </c>
      <c r="E42" s="36" t="s">
        <v>128</v>
      </c>
      <c r="F42" s="37" t="s">
        <v>42</v>
      </c>
      <c r="G42" s="56" t="s">
        <v>129</v>
      </c>
      <c r="H42" s="57" t="s">
        <v>52</v>
      </c>
      <c r="I42" s="37"/>
      <c r="J42" s="36"/>
      <c r="K42" s="35"/>
      <c r="L42" s="37"/>
      <c r="M42" s="57" t="s">
        <v>130</v>
      </c>
      <c r="N42" s="35"/>
    </row>
    <row r="43" spans="2:14" ht="54" customHeight="1" x14ac:dyDescent="0.15">
      <c r="B43" s="34" t="s">
        <v>131</v>
      </c>
      <c r="C43" s="35" t="s">
        <v>39</v>
      </c>
      <c r="D43" s="35" t="s">
        <v>120</v>
      </c>
      <c r="E43" s="36" t="s">
        <v>132</v>
      </c>
      <c r="F43" s="37" t="s">
        <v>42</v>
      </c>
      <c r="G43" s="56" t="s">
        <v>129</v>
      </c>
      <c r="H43" s="57" t="s">
        <v>52</v>
      </c>
      <c r="I43" s="37"/>
      <c r="J43" s="36"/>
      <c r="K43" s="35"/>
      <c r="L43" s="37"/>
      <c r="M43" s="57" t="s">
        <v>133</v>
      </c>
      <c r="N43" s="35"/>
    </row>
    <row r="44" spans="2:14" ht="54" customHeight="1" x14ac:dyDescent="0.15">
      <c r="B44" s="34" t="s">
        <v>134</v>
      </c>
      <c r="C44" s="35" t="s">
        <v>39</v>
      </c>
      <c r="D44" s="35" t="s">
        <v>120</v>
      </c>
      <c r="E44" s="36" t="s">
        <v>135</v>
      </c>
      <c r="F44" s="37" t="s">
        <v>42</v>
      </c>
      <c r="G44" s="56" t="s">
        <v>42</v>
      </c>
      <c r="H44" s="57" t="s">
        <v>101</v>
      </c>
      <c r="I44" s="37"/>
      <c r="J44" s="41"/>
      <c r="K44" s="35"/>
      <c r="L44" s="37"/>
      <c r="M44" s="57" t="s">
        <v>102</v>
      </c>
      <c r="N44" s="35"/>
    </row>
    <row r="45" spans="2:14" ht="54" customHeight="1" x14ac:dyDescent="0.15">
      <c r="B45" s="34" t="s">
        <v>136</v>
      </c>
      <c r="C45" s="35" t="s">
        <v>39</v>
      </c>
      <c r="D45" s="35" t="s">
        <v>120</v>
      </c>
      <c r="E45" s="36" t="s">
        <v>137</v>
      </c>
      <c r="F45" s="37" t="s">
        <v>42</v>
      </c>
      <c r="G45" s="56" t="s">
        <v>129</v>
      </c>
      <c r="H45" s="57" t="s">
        <v>52</v>
      </c>
      <c r="I45" s="37"/>
      <c r="J45" s="40"/>
      <c r="K45" s="35"/>
      <c r="L45" s="37"/>
      <c r="M45" s="57" t="s">
        <v>138</v>
      </c>
      <c r="N45" s="35"/>
    </row>
    <row r="46" spans="2:14" ht="54" customHeight="1" x14ac:dyDescent="0.15">
      <c r="B46" s="34" t="s">
        <v>139</v>
      </c>
      <c r="C46" s="35" t="s">
        <v>39</v>
      </c>
      <c r="D46" s="35" t="s">
        <v>120</v>
      </c>
      <c r="E46" s="36" t="s">
        <v>140</v>
      </c>
      <c r="F46" s="37" t="s">
        <v>42</v>
      </c>
      <c r="G46" s="56" t="s">
        <v>129</v>
      </c>
      <c r="H46" s="57" t="s">
        <v>52</v>
      </c>
      <c r="I46" s="37"/>
      <c r="J46" s="36"/>
      <c r="K46" s="35"/>
      <c r="L46" s="37"/>
      <c r="M46" s="57" t="s">
        <v>141</v>
      </c>
      <c r="N46" s="35"/>
    </row>
    <row r="47" spans="2:14" ht="54" customHeight="1" x14ac:dyDescent="0.15">
      <c r="B47" s="34" t="s">
        <v>142</v>
      </c>
      <c r="C47" s="35" t="s">
        <v>39</v>
      </c>
      <c r="D47" s="35" t="s">
        <v>120</v>
      </c>
      <c r="E47" s="36" t="s">
        <v>143</v>
      </c>
      <c r="F47" s="37" t="s">
        <v>51</v>
      </c>
      <c r="G47" s="56" t="s">
        <v>129</v>
      </c>
      <c r="H47" s="57" t="s">
        <v>52</v>
      </c>
      <c r="I47" s="37"/>
      <c r="J47" s="40"/>
      <c r="K47" s="35"/>
      <c r="L47" s="37"/>
      <c r="M47" s="57" t="s">
        <v>144</v>
      </c>
      <c r="N47" s="35"/>
    </row>
    <row r="48" spans="2:14" ht="54" customHeight="1" x14ac:dyDescent="0.15">
      <c r="B48" s="34" t="s">
        <v>145</v>
      </c>
      <c r="C48" s="35" t="s">
        <v>39</v>
      </c>
      <c r="D48" s="35" t="s">
        <v>146</v>
      </c>
      <c r="E48" s="36" t="s">
        <v>147</v>
      </c>
      <c r="F48" s="37" t="s">
        <v>42</v>
      </c>
      <c r="G48" s="56" t="s">
        <v>129</v>
      </c>
      <c r="H48" s="57" t="s">
        <v>52</v>
      </c>
      <c r="I48" s="37"/>
      <c r="J48" s="40"/>
      <c r="K48" s="35"/>
      <c r="L48" s="37"/>
      <c r="M48" s="57" t="s">
        <v>148</v>
      </c>
      <c r="N48" s="35"/>
    </row>
    <row r="49" spans="2:14" ht="54" customHeight="1" x14ac:dyDescent="0.15">
      <c r="B49" s="34" t="s">
        <v>149</v>
      </c>
      <c r="C49" s="35" t="s">
        <v>39</v>
      </c>
      <c r="D49" s="35" t="s">
        <v>146</v>
      </c>
      <c r="E49" s="36" t="s">
        <v>150</v>
      </c>
      <c r="F49" s="37" t="s">
        <v>42</v>
      </c>
      <c r="G49" s="56" t="s">
        <v>42</v>
      </c>
      <c r="H49" s="57" t="s">
        <v>43</v>
      </c>
      <c r="I49" s="37"/>
      <c r="J49" s="39"/>
      <c r="K49" s="35"/>
      <c r="L49" s="37"/>
      <c r="M49" s="57" t="s">
        <v>44</v>
      </c>
      <c r="N49" s="35"/>
    </row>
    <row r="50" spans="2:14" ht="54" customHeight="1" x14ac:dyDescent="0.15">
      <c r="B50" s="34" t="s">
        <v>151</v>
      </c>
      <c r="C50" s="35" t="s">
        <v>39</v>
      </c>
      <c r="D50" s="35" t="s">
        <v>146</v>
      </c>
      <c r="E50" s="36" t="s">
        <v>152</v>
      </c>
      <c r="F50" s="37" t="s">
        <v>42</v>
      </c>
      <c r="G50" s="56" t="s">
        <v>42</v>
      </c>
      <c r="H50" s="57" t="s">
        <v>153</v>
      </c>
      <c r="I50" s="37"/>
      <c r="J50" s="38"/>
      <c r="K50" s="35"/>
      <c r="L50" s="37"/>
      <c r="M50" s="57" t="s">
        <v>154</v>
      </c>
      <c r="N50" s="35"/>
    </row>
    <row r="51" spans="2:14" ht="54" customHeight="1" x14ac:dyDescent="0.15">
      <c r="B51" s="34" t="s">
        <v>155</v>
      </c>
      <c r="C51" s="35" t="s">
        <v>39</v>
      </c>
      <c r="D51" s="35" t="s">
        <v>146</v>
      </c>
      <c r="E51" s="36" t="s">
        <v>156</v>
      </c>
      <c r="F51" s="37" t="s">
        <v>42</v>
      </c>
      <c r="G51" s="56" t="s">
        <v>42</v>
      </c>
      <c r="H51" s="57" t="s">
        <v>61</v>
      </c>
      <c r="I51" s="37"/>
      <c r="J51" s="38"/>
      <c r="K51" s="35"/>
      <c r="L51" s="37"/>
      <c r="M51" s="57" t="s">
        <v>62</v>
      </c>
      <c r="N51" s="35"/>
    </row>
    <row r="52" spans="2:14" ht="54" customHeight="1" x14ac:dyDescent="0.15">
      <c r="B52" s="34" t="s">
        <v>157</v>
      </c>
      <c r="C52" s="35" t="s">
        <v>39</v>
      </c>
      <c r="D52" s="35" t="s">
        <v>146</v>
      </c>
      <c r="E52" s="36" t="s">
        <v>158</v>
      </c>
      <c r="F52" s="37" t="s">
        <v>42</v>
      </c>
      <c r="G52" s="56" t="s">
        <v>129</v>
      </c>
      <c r="H52" s="57" t="s">
        <v>52</v>
      </c>
      <c r="I52" s="37"/>
      <c r="J52" s="41"/>
      <c r="K52" s="35"/>
      <c r="L52" s="37"/>
      <c r="M52" s="57" t="s">
        <v>159</v>
      </c>
      <c r="N52" s="35"/>
    </row>
    <row r="53" spans="2:14" ht="54" customHeight="1" x14ac:dyDescent="0.15">
      <c r="B53" s="34" t="s">
        <v>160</v>
      </c>
      <c r="C53" s="35" t="s">
        <v>39</v>
      </c>
      <c r="D53" s="35" t="s">
        <v>146</v>
      </c>
      <c r="E53" s="36" t="s">
        <v>161</v>
      </c>
      <c r="F53" s="37" t="s">
        <v>42</v>
      </c>
      <c r="G53" s="56" t="s">
        <v>42</v>
      </c>
      <c r="H53" s="57" t="s">
        <v>61</v>
      </c>
      <c r="I53" s="37"/>
      <c r="J53" s="39"/>
      <c r="K53" s="35"/>
      <c r="L53" s="37"/>
      <c r="M53" s="57" t="s">
        <v>62</v>
      </c>
      <c r="N53" s="35"/>
    </row>
    <row r="54" spans="2:14" ht="54" customHeight="1" x14ac:dyDescent="0.15">
      <c r="B54" s="34" t="s">
        <v>162</v>
      </c>
      <c r="C54" s="35" t="s">
        <v>39</v>
      </c>
      <c r="D54" s="35" t="s">
        <v>146</v>
      </c>
      <c r="E54" s="36" t="s">
        <v>163</v>
      </c>
      <c r="F54" s="37" t="s">
        <v>42</v>
      </c>
      <c r="G54" s="56" t="s">
        <v>42</v>
      </c>
      <c r="H54" s="57" t="s">
        <v>61</v>
      </c>
      <c r="I54" s="37"/>
      <c r="J54" s="39"/>
      <c r="K54" s="35"/>
      <c r="L54" s="37"/>
      <c r="M54" s="57" t="s">
        <v>62</v>
      </c>
      <c r="N54" s="35"/>
    </row>
    <row r="55" spans="2:14" ht="54" customHeight="1" x14ac:dyDescent="0.15">
      <c r="B55" s="34" t="s">
        <v>164</v>
      </c>
      <c r="C55" s="35" t="s">
        <v>39</v>
      </c>
      <c r="D55" s="35" t="s">
        <v>146</v>
      </c>
      <c r="E55" s="36" t="s">
        <v>165</v>
      </c>
      <c r="F55" s="37" t="s">
        <v>42</v>
      </c>
      <c r="G55" s="56" t="s">
        <v>166</v>
      </c>
      <c r="H55" s="57" t="s">
        <v>167</v>
      </c>
      <c r="I55" s="37"/>
      <c r="J55" s="36"/>
      <c r="K55" s="35"/>
      <c r="L55" s="37"/>
      <c r="M55" s="57" t="s">
        <v>168</v>
      </c>
      <c r="N55" s="35"/>
    </row>
    <row r="56" spans="2:14" ht="54" customHeight="1" x14ac:dyDescent="0.15">
      <c r="B56" s="34" t="s">
        <v>169</v>
      </c>
      <c r="C56" s="35" t="s">
        <v>39</v>
      </c>
      <c r="D56" s="35" t="s">
        <v>146</v>
      </c>
      <c r="E56" s="36" t="s">
        <v>170</v>
      </c>
      <c r="F56" s="37" t="s">
        <v>42</v>
      </c>
      <c r="G56" s="56" t="s">
        <v>42</v>
      </c>
      <c r="H56" s="57" t="s">
        <v>153</v>
      </c>
      <c r="I56" s="37"/>
      <c r="J56" s="38"/>
      <c r="K56" s="35"/>
      <c r="L56" s="37"/>
      <c r="M56" s="57" t="s">
        <v>154</v>
      </c>
      <c r="N56" s="35"/>
    </row>
    <row r="57" spans="2:14" ht="54" customHeight="1" x14ac:dyDescent="0.15">
      <c r="B57" s="34" t="s">
        <v>171</v>
      </c>
      <c r="C57" s="35" t="s">
        <v>39</v>
      </c>
      <c r="D57" s="35" t="s">
        <v>146</v>
      </c>
      <c r="E57" s="36" t="s">
        <v>172</v>
      </c>
      <c r="F57" s="37" t="s">
        <v>42</v>
      </c>
      <c r="G57" s="56" t="s">
        <v>42</v>
      </c>
      <c r="H57" s="57" t="s">
        <v>101</v>
      </c>
      <c r="I57" s="37"/>
      <c r="J57" s="40"/>
      <c r="K57" s="35"/>
      <c r="L57" s="37"/>
      <c r="M57" s="57" t="s">
        <v>102</v>
      </c>
      <c r="N57" s="35"/>
    </row>
    <row r="58" spans="2:14" ht="54" customHeight="1" x14ac:dyDescent="0.15">
      <c r="B58" s="34" t="s">
        <v>173</v>
      </c>
      <c r="C58" s="35" t="s">
        <v>39</v>
      </c>
      <c r="D58" s="35" t="s">
        <v>146</v>
      </c>
      <c r="E58" s="36" t="s">
        <v>174</v>
      </c>
      <c r="F58" s="37" t="s">
        <v>51</v>
      </c>
      <c r="G58" s="56" t="s">
        <v>51</v>
      </c>
      <c r="H58" s="57" t="s">
        <v>43</v>
      </c>
      <c r="I58" s="37"/>
      <c r="J58" s="41"/>
      <c r="K58" s="35"/>
      <c r="L58" s="37"/>
      <c r="M58" s="57" t="s">
        <v>44</v>
      </c>
      <c r="N58" s="35"/>
    </row>
    <row r="59" spans="2:14" ht="54" customHeight="1" x14ac:dyDescent="0.15">
      <c r="B59" s="34" t="s">
        <v>175</v>
      </c>
      <c r="C59" s="35" t="s">
        <v>39</v>
      </c>
      <c r="D59" s="35" t="s">
        <v>176</v>
      </c>
      <c r="E59" s="36" t="s">
        <v>177</v>
      </c>
      <c r="F59" s="37" t="s">
        <v>42</v>
      </c>
      <c r="G59" s="56" t="s">
        <v>42</v>
      </c>
      <c r="H59" s="57" t="s">
        <v>43</v>
      </c>
      <c r="I59" s="37"/>
      <c r="J59" s="36"/>
      <c r="K59" s="35"/>
      <c r="L59" s="37"/>
      <c r="M59" s="57" t="s">
        <v>44</v>
      </c>
      <c r="N59" s="35"/>
    </row>
    <row r="60" spans="2:14" ht="54" customHeight="1" x14ac:dyDescent="0.15">
      <c r="B60" s="34" t="s">
        <v>178</v>
      </c>
      <c r="C60" s="35" t="s">
        <v>39</v>
      </c>
      <c r="D60" s="35" t="s">
        <v>176</v>
      </c>
      <c r="E60" s="36" t="s">
        <v>179</v>
      </c>
      <c r="F60" s="37" t="s">
        <v>42</v>
      </c>
      <c r="G60" s="56" t="s">
        <v>129</v>
      </c>
      <c r="H60" s="57" t="s">
        <v>52</v>
      </c>
      <c r="I60" s="37"/>
      <c r="J60" s="38"/>
      <c r="K60" s="35"/>
      <c r="L60" s="37"/>
      <c r="M60" s="57" t="s">
        <v>180</v>
      </c>
      <c r="N60" s="35"/>
    </row>
    <row r="61" spans="2:14" ht="54" customHeight="1" x14ac:dyDescent="0.15">
      <c r="B61" s="34" t="s">
        <v>181</v>
      </c>
      <c r="C61" s="35" t="s">
        <v>39</v>
      </c>
      <c r="D61" s="35" t="s">
        <v>176</v>
      </c>
      <c r="E61" s="36" t="s">
        <v>182</v>
      </c>
      <c r="F61" s="37" t="s">
        <v>42</v>
      </c>
      <c r="G61" s="56" t="s">
        <v>129</v>
      </c>
      <c r="H61" s="57" t="s">
        <v>52</v>
      </c>
      <c r="I61" s="37"/>
      <c r="J61" s="38"/>
      <c r="K61" s="35"/>
      <c r="L61" s="37"/>
      <c r="M61" s="57" t="s">
        <v>183</v>
      </c>
      <c r="N61" s="35"/>
    </row>
    <row r="62" spans="2:14" ht="54" customHeight="1" x14ac:dyDescent="0.15">
      <c r="B62" s="34" t="s">
        <v>184</v>
      </c>
      <c r="C62" s="35" t="s">
        <v>39</v>
      </c>
      <c r="D62" s="35" t="s">
        <v>176</v>
      </c>
      <c r="E62" s="36" t="s">
        <v>185</v>
      </c>
      <c r="F62" s="37" t="s">
        <v>42</v>
      </c>
      <c r="G62" s="56" t="s">
        <v>42</v>
      </c>
      <c r="H62" s="57" t="s">
        <v>61</v>
      </c>
      <c r="I62" s="37"/>
      <c r="J62" s="38"/>
      <c r="K62" s="35"/>
      <c r="L62" s="37"/>
      <c r="M62" s="57" t="s">
        <v>62</v>
      </c>
      <c r="N62" s="35"/>
    </row>
    <row r="63" spans="2:14" ht="54" customHeight="1" x14ac:dyDescent="0.15">
      <c r="B63" s="34" t="s">
        <v>186</v>
      </c>
      <c r="C63" s="35" t="s">
        <v>39</v>
      </c>
      <c r="D63" s="35" t="s">
        <v>176</v>
      </c>
      <c r="E63" s="36" t="s">
        <v>187</v>
      </c>
      <c r="F63" s="37" t="s">
        <v>42</v>
      </c>
      <c r="G63" s="56" t="s">
        <v>42</v>
      </c>
      <c r="H63" s="57" t="s">
        <v>43</v>
      </c>
      <c r="I63" s="37"/>
      <c r="J63" s="39"/>
      <c r="K63" s="35"/>
      <c r="L63" s="37"/>
      <c r="M63" s="57" t="s">
        <v>44</v>
      </c>
      <c r="N63" s="35"/>
    </row>
    <row r="64" spans="2:14" ht="54" customHeight="1" x14ac:dyDescent="0.15">
      <c r="B64" s="34" t="s">
        <v>188</v>
      </c>
      <c r="C64" s="35" t="s">
        <v>39</v>
      </c>
      <c r="D64" s="35" t="s">
        <v>176</v>
      </c>
      <c r="E64" s="36" t="s">
        <v>189</v>
      </c>
      <c r="F64" s="37" t="s">
        <v>51</v>
      </c>
      <c r="G64" s="56" t="s">
        <v>129</v>
      </c>
      <c r="H64" s="57" t="s">
        <v>52</v>
      </c>
      <c r="I64" s="37"/>
      <c r="J64" s="38"/>
      <c r="K64" s="35"/>
      <c r="L64" s="37"/>
      <c r="M64" s="57" t="s">
        <v>190</v>
      </c>
      <c r="N64" s="35"/>
    </row>
    <row r="65" spans="2:14" ht="54" customHeight="1" x14ac:dyDescent="0.15">
      <c r="B65" s="34" t="s">
        <v>191</v>
      </c>
      <c r="C65" s="35" t="s">
        <v>39</v>
      </c>
      <c r="D65" s="35" t="s">
        <v>192</v>
      </c>
      <c r="E65" s="36" t="s">
        <v>193</v>
      </c>
      <c r="F65" s="37" t="s">
        <v>42</v>
      </c>
      <c r="G65" s="56" t="s">
        <v>42</v>
      </c>
      <c r="H65" s="57" t="s">
        <v>101</v>
      </c>
      <c r="I65" s="37"/>
      <c r="J65" s="39"/>
      <c r="K65" s="35"/>
      <c r="L65" s="37"/>
      <c r="M65" s="57" t="s">
        <v>102</v>
      </c>
      <c r="N65" s="35"/>
    </row>
    <row r="66" spans="2:14" ht="54" customHeight="1" x14ac:dyDescent="0.15">
      <c r="B66" s="34" t="s">
        <v>194</v>
      </c>
      <c r="C66" s="35" t="s">
        <v>39</v>
      </c>
      <c r="D66" s="35" t="s">
        <v>192</v>
      </c>
      <c r="E66" s="36" t="s">
        <v>195</v>
      </c>
      <c r="F66" s="37" t="s">
        <v>42</v>
      </c>
      <c r="G66" s="56" t="s">
        <v>42</v>
      </c>
      <c r="H66" s="57" t="s">
        <v>101</v>
      </c>
      <c r="I66" s="37"/>
      <c r="J66" s="41"/>
      <c r="K66" s="35"/>
      <c r="L66" s="37"/>
      <c r="M66" s="57" t="s">
        <v>102</v>
      </c>
      <c r="N66" s="35"/>
    </row>
    <row r="67" spans="2:14" ht="54" customHeight="1" x14ac:dyDescent="0.15">
      <c r="B67" s="34" t="s">
        <v>196</v>
      </c>
      <c r="C67" s="35" t="s">
        <v>39</v>
      </c>
      <c r="D67" s="35" t="s">
        <v>192</v>
      </c>
      <c r="E67" s="36" t="s">
        <v>197</v>
      </c>
      <c r="F67" s="37" t="s">
        <v>42</v>
      </c>
      <c r="G67" s="56" t="s">
        <v>42</v>
      </c>
      <c r="H67" s="57" t="s">
        <v>101</v>
      </c>
      <c r="I67" s="37"/>
      <c r="J67" s="38"/>
      <c r="K67" s="35"/>
      <c r="L67" s="37"/>
      <c r="M67" s="57" t="s">
        <v>102</v>
      </c>
      <c r="N67" s="35"/>
    </row>
    <row r="68" spans="2:14" ht="54" customHeight="1" x14ac:dyDescent="0.15">
      <c r="B68" s="34" t="s">
        <v>198</v>
      </c>
      <c r="C68" s="35" t="s">
        <v>39</v>
      </c>
      <c r="D68" s="35" t="s">
        <v>192</v>
      </c>
      <c r="E68" s="36" t="s">
        <v>199</v>
      </c>
      <c r="F68" s="37" t="s">
        <v>42</v>
      </c>
      <c r="G68" s="56" t="s">
        <v>51</v>
      </c>
      <c r="H68" s="57" t="s">
        <v>52</v>
      </c>
      <c r="I68" s="37"/>
      <c r="J68" s="38"/>
      <c r="K68" s="35"/>
      <c r="L68" s="37"/>
      <c r="M68" s="57" t="s">
        <v>200</v>
      </c>
      <c r="N68" s="35"/>
    </row>
    <row r="69" spans="2:14" ht="115" customHeight="1" x14ac:dyDescent="0.15">
      <c r="B69" s="34" t="s">
        <v>201</v>
      </c>
      <c r="C69" s="35" t="s">
        <v>39</v>
      </c>
      <c r="D69" s="35" t="s">
        <v>192</v>
      </c>
      <c r="E69" s="36" t="s">
        <v>202</v>
      </c>
      <c r="F69" s="37" t="s">
        <v>42</v>
      </c>
      <c r="G69" s="56" t="s">
        <v>166</v>
      </c>
      <c r="H69" s="57" t="s">
        <v>167</v>
      </c>
      <c r="I69" s="37"/>
      <c r="J69" s="36"/>
      <c r="K69" s="35"/>
      <c r="L69" s="37"/>
      <c r="M69" s="57" t="s">
        <v>203</v>
      </c>
      <c r="N69" s="35"/>
    </row>
    <row r="70" spans="2:14" ht="54" customHeight="1" x14ac:dyDescent="0.15">
      <c r="B70" s="34" t="s">
        <v>204</v>
      </c>
      <c r="C70" s="35" t="s">
        <v>39</v>
      </c>
      <c r="D70" s="35" t="s">
        <v>192</v>
      </c>
      <c r="E70" s="36" t="s">
        <v>205</v>
      </c>
      <c r="F70" s="37" t="s">
        <v>51</v>
      </c>
      <c r="G70" s="56" t="s">
        <v>51</v>
      </c>
      <c r="H70" s="57" t="s">
        <v>153</v>
      </c>
      <c r="I70" s="37"/>
      <c r="J70" s="40"/>
      <c r="K70" s="35"/>
      <c r="L70" s="37"/>
      <c r="M70" s="57" t="s">
        <v>154</v>
      </c>
      <c r="N70" s="35"/>
    </row>
    <row r="71" spans="2:14" ht="54" customHeight="1" x14ac:dyDescent="0.15">
      <c r="B71" s="34" t="s">
        <v>206</v>
      </c>
      <c r="C71" s="35" t="s">
        <v>39</v>
      </c>
      <c r="D71" s="35" t="s">
        <v>192</v>
      </c>
      <c r="E71" s="36" t="s">
        <v>207</v>
      </c>
      <c r="F71" s="37" t="s">
        <v>51</v>
      </c>
      <c r="G71" s="56" t="s">
        <v>51</v>
      </c>
      <c r="H71" s="57" t="s">
        <v>101</v>
      </c>
      <c r="I71" s="37"/>
      <c r="J71" s="38"/>
      <c r="K71" s="35"/>
      <c r="L71" s="37"/>
      <c r="M71" s="57" t="s">
        <v>102</v>
      </c>
      <c r="N71" s="35"/>
    </row>
    <row r="72" spans="2:14" ht="54" customHeight="1" x14ac:dyDescent="0.15">
      <c r="B72" s="34" t="s">
        <v>208</v>
      </c>
      <c r="C72" s="35" t="s">
        <v>39</v>
      </c>
      <c r="D72" s="35" t="s">
        <v>209</v>
      </c>
      <c r="E72" s="36" t="s">
        <v>210</v>
      </c>
      <c r="F72" s="37" t="s">
        <v>42</v>
      </c>
      <c r="G72" s="56" t="s">
        <v>42</v>
      </c>
      <c r="H72" s="57" t="s">
        <v>153</v>
      </c>
      <c r="I72" s="37"/>
      <c r="J72" s="38"/>
      <c r="K72" s="35"/>
      <c r="L72" s="37"/>
      <c r="M72" s="57" t="s">
        <v>154</v>
      </c>
      <c r="N72" s="35"/>
    </row>
    <row r="73" spans="2:14" ht="28" customHeight="1" x14ac:dyDescent="0.15">
      <c r="B73" s="34" t="s">
        <v>211</v>
      </c>
      <c r="C73" s="35" t="s">
        <v>39</v>
      </c>
      <c r="D73" s="35" t="s">
        <v>209</v>
      </c>
      <c r="E73" s="36" t="s">
        <v>212</v>
      </c>
      <c r="F73" s="37" t="s">
        <v>42</v>
      </c>
      <c r="G73" s="56" t="s">
        <v>42</v>
      </c>
      <c r="H73" s="57" t="s">
        <v>153</v>
      </c>
      <c r="I73" s="37"/>
      <c r="J73" s="38"/>
      <c r="K73" s="35"/>
      <c r="L73" s="37"/>
      <c r="M73" s="57" t="s">
        <v>154</v>
      </c>
      <c r="N73" s="35"/>
    </row>
    <row r="74" spans="2:14" ht="54" customHeight="1" x14ac:dyDescent="0.15">
      <c r="B74" s="34" t="s">
        <v>213</v>
      </c>
      <c r="C74" s="35" t="s">
        <v>39</v>
      </c>
      <c r="D74" s="35" t="s">
        <v>209</v>
      </c>
      <c r="E74" s="36" t="s">
        <v>214</v>
      </c>
      <c r="F74" s="37" t="s">
        <v>42</v>
      </c>
      <c r="G74" s="56" t="s">
        <v>42</v>
      </c>
      <c r="H74" s="57" t="s">
        <v>153</v>
      </c>
      <c r="I74" s="37"/>
      <c r="J74" s="38"/>
      <c r="K74" s="35"/>
      <c r="L74" s="37"/>
      <c r="M74" s="57" t="s">
        <v>154</v>
      </c>
      <c r="N74" s="35"/>
    </row>
    <row r="75" spans="2:14" ht="54" customHeight="1" x14ac:dyDescent="0.15">
      <c r="B75" s="34" t="s">
        <v>215</v>
      </c>
      <c r="C75" s="35" t="s">
        <v>216</v>
      </c>
      <c r="D75" s="35" t="s">
        <v>217</v>
      </c>
      <c r="E75" s="36" t="s">
        <v>218</v>
      </c>
      <c r="F75" s="37" t="s">
        <v>42</v>
      </c>
      <c r="G75" s="56" t="s">
        <v>42</v>
      </c>
      <c r="H75" s="57" t="s">
        <v>43</v>
      </c>
      <c r="I75" s="37"/>
      <c r="J75" s="40"/>
      <c r="K75" s="35"/>
      <c r="L75" s="37"/>
      <c r="M75" s="57" t="s">
        <v>44</v>
      </c>
      <c r="N75" s="35"/>
    </row>
    <row r="76" spans="2:14" ht="54" customHeight="1" x14ac:dyDescent="0.15">
      <c r="B76" s="34" t="s">
        <v>219</v>
      </c>
      <c r="C76" s="35" t="s">
        <v>216</v>
      </c>
      <c r="D76" s="35" t="s">
        <v>217</v>
      </c>
      <c r="E76" s="36" t="s">
        <v>220</v>
      </c>
      <c r="F76" s="37" t="s">
        <v>42</v>
      </c>
      <c r="G76" s="56" t="s">
        <v>42</v>
      </c>
      <c r="H76" s="57" t="s">
        <v>43</v>
      </c>
      <c r="I76" s="37"/>
      <c r="J76" s="40"/>
      <c r="K76" s="35"/>
      <c r="L76" s="37"/>
      <c r="M76" s="57" t="s">
        <v>44</v>
      </c>
      <c r="N76" s="35"/>
    </row>
    <row r="77" spans="2:14" ht="54" customHeight="1" x14ac:dyDescent="0.15">
      <c r="B77" s="34" t="s">
        <v>221</v>
      </c>
      <c r="C77" s="35" t="s">
        <v>216</v>
      </c>
      <c r="D77" s="35" t="s">
        <v>217</v>
      </c>
      <c r="E77" s="36" t="s">
        <v>222</v>
      </c>
      <c r="F77" s="37" t="s">
        <v>42</v>
      </c>
      <c r="G77" s="56" t="s">
        <v>42</v>
      </c>
      <c r="H77" s="57" t="s">
        <v>43</v>
      </c>
      <c r="I77" s="37"/>
      <c r="J77" s="40"/>
      <c r="K77" s="35"/>
      <c r="L77" s="37"/>
      <c r="M77" s="57" t="s">
        <v>44</v>
      </c>
      <c r="N77" s="35"/>
    </row>
    <row r="78" spans="2:14" ht="54" customHeight="1" x14ac:dyDescent="0.15">
      <c r="B78" s="34" t="s">
        <v>223</v>
      </c>
      <c r="C78" s="35" t="s">
        <v>216</v>
      </c>
      <c r="D78" s="35" t="s">
        <v>217</v>
      </c>
      <c r="E78" s="36" t="s">
        <v>224</v>
      </c>
      <c r="F78" s="37" t="s">
        <v>42</v>
      </c>
      <c r="G78" s="56" t="s">
        <v>42</v>
      </c>
      <c r="H78" s="57" t="s">
        <v>43</v>
      </c>
      <c r="I78" s="37"/>
      <c r="J78" s="36"/>
      <c r="K78" s="35"/>
      <c r="L78" s="37"/>
      <c r="M78" s="57" t="s">
        <v>44</v>
      </c>
      <c r="N78" s="35"/>
    </row>
    <row r="79" spans="2:14" ht="54" customHeight="1" x14ac:dyDescent="0.15">
      <c r="B79" s="34" t="s">
        <v>225</v>
      </c>
      <c r="C79" s="35" t="s">
        <v>216</v>
      </c>
      <c r="D79" s="35" t="s">
        <v>217</v>
      </c>
      <c r="E79" s="36" t="s">
        <v>226</v>
      </c>
      <c r="F79" s="37" t="s">
        <v>42</v>
      </c>
      <c r="G79" s="56" t="s">
        <v>42</v>
      </c>
      <c r="H79" s="57" t="s">
        <v>61</v>
      </c>
      <c r="I79" s="37"/>
      <c r="J79" s="38"/>
      <c r="K79" s="35"/>
      <c r="L79" s="37"/>
      <c r="M79" s="57" t="s">
        <v>62</v>
      </c>
      <c r="N79" s="35"/>
    </row>
    <row r="80" spans="2:14" ht="54" customHeight="1" x14ac:dyDescent="0.15">
      <c r="B80" s="34" t="s">
        <v>227</v>
      </c>
      <c r="C80" s="35" t="s">
        <v>216</v>
      </c>
      <c r="D80" s="35" t="s">
        <v>217</v>
      </c>
      <c r="E80" s="36" t="s">
        <v>228</v>
      </c>
      <c r="F80" s="37" t="s">
        <v>42</v>
      </c>
      <c r="G80" s="56" t="s">
        <v>42</v>
      </c>
      <c r="H80" s="57" t="s">
        <v>61</v>
      </c>
      <c r="I80" s="37"/>
      <c r="J80" s="40"/>
      <c r="K80" s="35"/>
      <c r="L80" s="37"/>
      <c r="M80" s="57" t="s">
        <v>62</v>
      </c>
      <c r="N80" s="35"/>
    </row>
    <row r="81" spans="2:14" ht="54" customHeight="1" x14ac:dyDescent="0.15">
      <c r="B81" s="34" t="s">
        <v>229</v>
      </c>
      <c r="C81" s="35" t="s">
        <v>216</v>
      </c>
      <c r="D81" s="35" t="s">
        <v>217</v>
      </c>
      <c r="E81" s="36" t="s">
        <v>230</v>
      </c>
      <c r="F81" s="37" t="s">
        <v>51</v>
      </c>
      <c r="G81" s="56" t="s">
        <v>51</v>
      </c>
      <c r="H81" s="57" t="s">
        <v>101</v>
      </c>
      <c r="I81" s="37"/>
      <c r="J81" s="38"/>
      <c r="K81" s="35"/>
      <c r="L81" s="37"/>
      <c r="M81" s="57" t="s">
        <v>102</v>
      </c>
      <c r="N81" s="35"/>
    </row>
    <row r="82" spans="2:14" ht="54" customHeight="1" x14ac:dyDescent="0.15">
      <c r="B82" s="34" t="s">
        <v>231</v>
      </c>
      <c r="C82" s="35" t="s">
        <v>216</v>
      </c>
      <c r="D82" s="35" t="s">
        <v>217</v>
      </c>
      <c r="E82" s="36" t="s">
        <v>232</v>
      </c>
      <c r="F82" s="37" t="s">
        <v>51</v>
      </c>
      <c r="G82" s="56" t="s">
        <v>51</v>
      </c>
      <c r="H82" s="57" t="s">
        <v>61</v>
      </c>
      <c r="I82" s="37"/>
      <c r="J82" s="38"/>
      <c r="K82" s="35"/>
      <c r="L82" s="37"/>
      <c r="M82" s="57" t="s">
        <v>62</v>
      </c>
      <c r="N82" s="35"/>
    </row>
    <row r="83" spans="2:14" ht="54" customHeight="1" x14ac:dyDescent="0.15">
      <c r="B83" s="34" t="s">
        <v>233</v>
      </c>
      <c r="C83" s="35" t="s">
        <v>216</v>
      </c>
      <c r="D83" s="35" t="s">
        <v>234</v>
      </c>
      <c r="E83" s="36" t="s">
        <v>235</v>
      </c>
      <c r="F83" s="37" t="s">
        <v>42</v>
      </c>
      <c r="G83" s="56" t="s">
        <v>236</v>
      </c>
      <c r="H83" s="57" t="s">
        <v>52</v>
      </c>
      <c r="I83" s="37"/>
      <c r="J83" s="39"/>
      <c r="K83" s="35"/>
      <c r="L83" s="37"/>
      <c r="M83" s="57" t="s">
        <v>237</v>
      </c>
      <c r="N83" s="35"/>
    </row>
    <row r="84" spans="2:14" ht="54" customHeight="1" x14ac:dyDescent="0.15">
      <c r="B84" s="34" t="s">
        <v>238</v>
      </c>
      <c r="C84" s="35" t="s">
        <v>216</v>
      </c>
      <c r="D84" s="35" t="s">
        <v>234</v>
      </c>
      <c r="E84" s="36" t="s">
        <v>239</v>
      </c>
      <c r="F84" s="37" t="s">
        <v>42</v>
      </c>
      <c r="G84" s="56" t="s">
        <v>240</v>
      </c>
      <c r="H84" s="57" t="s">
        <v>52</v>
      </c>
      <c r="I84" s="37"/>
      <c r="J84" s="38"/>
      <c r="K84" s="35"/>
      <c r="L84" s="37"/>
      <c r="M84" s="57" t="s">
        <v>241</v>
      </c>
      <c r="N84" s="35"/>
    </row>
    <row r="85" spans="2:14" ht="54" customHeight="1" x14ac:dyDescent="0.15">
      <c r="B85" s="34" t="s">
        <v>242</v>
      </c>
      <c r="C85" s="35" t="s">
        <v>216</v>
      </c>
      <c r="D85" s="35" t="s">
        <v>234</v>
      </c>
      <c r="E85" s="36" t="s">
        <v>243</v>
      </c>
      <c r="F85" s="37" t="s">
        <v>51</v>
      </c>
      <c r="G85" s="56" t="s">
        <v>129</v>
      </c>
      <c r="H85" s="57" t="s">
        <v>52</v>
      </c>
      <c r="I85" s="37"/>
      <c r="J85" s="39"/>
      <c r="K85" s="35"/>
      <c r="L85" s="37"/>
      <c r="M85" s="57" t="s">
        <v>244</v>
      </c>
      <c r="N85" s="35"/>
    </row>
    <row r="86" spans="2:14" ht="54" customHeight="1" x14ac:dyDescent="0.15">
      <c r="B86" s="34" t="s">
        <v>245</v>
      </c>
      <c r="C86" s="35" t="s">
        <v>216</v>
      </c>
      <c r="D86" s="35" t="s">
        <v>234</v>
      </c>
      <c r="E86" s="36" t="s">
        <v>246</v>
      </c>
      <c r="F86" s="37" t="s">
        <v>51</v>
      </c>
      <c r="G86" s="56" t="s">
        <v>129</v>
      </c>
      <c r="H86" s="57" t="s">
        <v>52</v>
      </c>
      <c r="I86" s="37"/>
      <c r="J86" s="39"/>
      <c r="K86" s="35"/>
      <c r="L86" s="37"/>
      <c r="M86" s="57" t="s">
        <v>247</v>
      </c>
      <c r="N86" s="35"/>
    </row>
    <row r="87" spans="2:14" ht="54" customHeight="1" x14ac:dyDescent="0.15">
      <c r="B87" s="34" t="s">
        <v>248</v>
      </c>
      <c r="C87" s="35" t="s">
        <v>216</v>
      </c>
      <c r="D87" s="35" t="s">
        <v>249</v>
      </c>
      <c r="E87" s="36" t="s">
        <v>250</v>
      </c>
      <c r="F87" s="37" t="s">
        <v>42</v>
      </c>
      <c r="G87" s="56" t="s">
        <v>129</v>
      </c>
      <c r="H87" s="57" t="s">
        <v>52</v>
      </c>
      <c r="I87" s="37"/>
      <c r="J87" s="36"/>
      <c r="K87" s="35"/>
      <c r="L87" s="37"/>
      <c r="M87" s="57" t="s">
        <v>251</v>
      </c>
      <c r="N87" s="35"/>
    </row>
    <row r="88" spans="2:14" ht="54" customHeight="1" x14ac:dyDescent="0.15">
      <c r="B88" s="34" t="s">
        <v>252</v>
      </c>
      <c r="C88" s="35" t="s">
        <v>216</v>
      </c>
      <c r="D88" s="35" t="s">
        <v>249</v>
      </c>
      <c r="E88" s="36" t="s">
        <v>253</v>
      </c>
      <c r="F88" s="37" t="s">
        <v>42</v>
      </c>
      <c r="G88" s="56" t="s">
        <v>254</v>
      </c>
      <c r="H88" s="57" t="s">
        <v>52</v>
      </c>
      <c r="I88" s="37"/>
      <c r="J88" s="38"/>
      <c r="K88" s="35"/>
      <c r="L88" s="37"/>
      <c r="M88" s="57" t="s">
        <v>255</v>
      </c>
      <c r="N88" s="35"/>
    </row>
    <row r="89" spans="2:14" ht="54" customHeight="1" x14ac:dyDescent="0.15">
      <c r="B89" s="34" t="s">
        <v>256</v>
      </c>
      <c r="C89" s="35" t="s">
        <v>216</v>
      </c>
      <c r="D89" s="35" t="s">
        <v>249</v>
      </c>
      <c r="E89" s="36" t="s">
        <v>257</v>
      </c>
      <c r="F89" s="37" t="s">
        <v>42</v>
      </c>
      <c r="G89" s="56" t="s">
        <v>129</v>
      </c>
      <c r="H89" s="57" t="s">
        <v>52</v>
      </c>
      <c r="I89" s="37"/>
      <c r="J89" s="38"/>
      <c r="K89" s="35"/>
      <c r="L89" s="37"/>
      <c r="M89" s="57" t="s">
        <v>258</v>
      </c>
      <c r="N89" s="35"/>
    </row>
    <row r="90" spans="2:14" ht="54" customHeight="1" x14ac:dyDescent="0.15">
      <c r="B90" s="34" t="s">
        <v>259</v>
      </c>
      <c r="C90" s="35" t="s">
        <v>216</v>
      </c>
      <c r="D90" s="35" t="s">
        <v>249</v>
      </c>
      <c r="E90" s="36" t="s">
        <v>260</v>
      </c>
      <c r="F90" s="37" t="s">
        <v>42</v>
      </c>
      <c r="G90" s="56" t="s">
        <v>129</v>
      </c>
      <c r="H90" s="57" t="s">
        <v>52</v>
      </c>
      <c r="I90" s="37"/>
      <c r="J90" s="36"/>
      <c r="K90" s="35"/>
      <c r="L90" s="37"/>
      <c r="M90" s="57" t="s">
        <v>261</v>
      </c>
      <c r="N90" s="35"/>
    </row>
    <row r="91" spans="2:14" ht="54" customHeight="1" x14ac:dyDescent="0.15">
      <c r="B91" s="34" t="s">
        <v>262</v>
      </c>
      <c r="C91" s="35" t="s">
        <v>216</v>
      </c>
      <c r="D91" s="35" t="s">
        <v>249</v>
      </c>
      <c r="E91" s="36" t="s">
        <v>263</v>
      </c>
      <c r="F91" s="37" t="s">
        <v>42</v>
      </c>
      <c r="G91" s="56" t="s">
        <v>42</v>
      </c>
      <c r="H91" s="57" t="s">
        <v>101</v>
      </c>
      <c r="I91" s="37"/>
      <c r="J91" s="38"/>
      <c r="K91" s="35"/>
      <c r="L91" s="37"/>
      <c r="M91" s="57" t="s">
        <v>102</v>
      </c>
      <c r="N91" s="35"/>
    </row>
    <row r="92" spans="2:14" ht="54" customHeight="1" x14ac:dyDescent="0.15">
      <c r="B92" s="34" t="s">
        <v>264</v>
      </c>
      <c r="C92" s="35" t="s">
        <v>216</v>
      </c>
      <c r="D92" s="35" t="s">
        <v>249</v>
      </c>
      <c r="E92" s="36" t="s">
        <v>265</v>
      </c>
      <c r="F92" s="37" t="s">
        <v>51</v>
      </c>
      <c r="G92" s="56" t="s">
        <v>266</v>
      </c>
      <c r="H92" s="57" t="s">
        <v>52</v>
      </c>
      <c r="I92" s="37"/>
      <c r="J92" s="36"/>
      <c r="K92" s="35"/>
      <c r="L92" s="37"/>
      <c r="M92" s="57" t="s">
        <v>267</v>
      </c>
      <c r="N92" s="35"/>
    </row>
    <row r="93" spans="2:14" ht="54" customHeight="1" x14ac:dyDescent="0.15">
      <c r="B93" s="34" t="s">
        <v>268</v>
      </c>
      <c r="C93" s="35" t="s">
        <v>216</v>
      </c>
      <c r="D93" s="35" t="s">
        <v>269</v>
      </c>
      <c r="E93" s="36" t="s">
        <v>270</v>
      </c>
      <c r="F93" s="37" t="s">
        <v>42</v>
      </c>
      <c r="G93" s="56" t="s">
        <v>42</v>
      </c>
      <c r="H93" s="57" t="s">
        <v>43</v>
      </c>
      <c r="I93" s="37"/>
      <c r="J93" s="39"/>
      <c r="K93" s="35"/>
      <c r="L93" s="37"/>
      <c r="M93" s="57" t="s">
        <v>44</v>
      </c>
      <c r="N93" s="35"/>
    </row>
    <row r="94" spans="2:14" ht="85" customHeight="1" x14ac:dyDescent="0.15">
      <c r="B94" s="34" t="s">
        <v>271</v>
      </c>
      <c r="C94" s="35" t="s">
        <v>216</v>
      </c>
      <c r="D94" s="35" t="s">
        <v>269</v>
      </c>
      <c r="E94" s="36" t="s">
        <v>272</v>
      </c>
      <c r="F94" s="37" t="s">
        <v>42</v>
      </c>
      <c r="G94" s="56" t="s">
        <v>42</v>
      </c>
      <c r="H94" s="57" t="s">
        <v>43</v>
      </c>
      <c r="I94" s="37"/>
      <c r="J94" s="40"/>
      <c r="K94" s="35"/>
      <c r="L94" s="37"/>
      <c r="M94" s="57" t="s">
        <v>44</v>
      </c>
      <c r="N94" s="35"/>
    </row>
    <row r="95" spans="2:14" ht="54" customHeight="1" x14ac:dyDescent="0.15">
      <c r="B95" s="34" t="s">
        <v>273</v>
      </c>
      <c r="C95" s="35" t="s">
        <v>216</v>
      </c>
      <c r="D95" s="35" t="s">
        <v>269</v>
      </c>
      <c r="E95" s="36" t="s">
        <v>274</v>
      </c>
      <c r="F95" s="37" t="s">
        <v>42</v>
      </c>
      <c r="G95" s="56" t="s">
        <v>42</v>
      </c>
      <c r="H95" s="57" t="s">
        <v>61</v>
      </c>
      <c r="I95" s="37"/>
      <c r="J95" s="40"/>
      <c r="K95" s="35"/>
      <c r="L95" s="37"/>
      <c r="M95" s="57" t="s">
        <v>62</v>
      </c>
      <c r="N95" s="35"/>
    </row>
    <row r="96" spans="2:14" ht="54" customHeight="1" x14ac:dyDescent="0.15">
      <c r="B96" s="34" t="s">
        <v>275</v>
      </c>
      <c r="C96" s="35" t="s">
        <v>216</v>
      </c>
      <c r="D96" s="35" t="s">
        <v>269</v>
      </c>
      <c r="E96" s="36" t="s">
        <v>276</v>
      </c>
      <c r="F96" s="37" t="s">
        <v>42</v>
      </c>
      <c r="G96" s="56" t="s">
        <v>42</v>
      </c>
      <c r="H96" s="57" t="s">
        <v>61</v>
      </c>
      <c r="I96" s="37"/>
      <c r="J96" s="39"/>
      <c r="K96" s="35"/>
      <c r="L96" s="37"/>
      <c r="M96" s="57" t="s">
        <v>62</v>
      </c>
      <c r="N96" s="35"/>
    </row>
    <row r="97" spans="2:14" ht="76" customHeight="1" x14ac:dyDescent="0.15">
      <c r="B97" s="34" t="s">
        <v>277</v>
      </c>
      <c r="C97" s="35" t="s">
        <v>216</v>
      </c>
      <c r="D97" s="35" t="s">
        <v>269</v>
      </c>
      <c r="E97" s="36" t="s">
        <v>278</v>
      </c>
      <c r="F97" s="37" t="s">
        <v>51</v>
      </c>
      <c r="G97" s="56" t="s">
        <v>129</v>
      </c>
      <c r="H97" s="57" t="s">
        <v>52</v>
      </c>
      <c r="I97" s="37"/>
      <c r="J97" s="38"/>
      <c r="K97" s="35"/>
      <c r="L97" s="37"/>
      <c r="M97" s="57" t="s">
        <v>279</v>
      </c>
      <c r="N97" s="35"/>
    </row>
    <row r="98" spans="2:14" ht="54" customHeight="1" x14ac:dyDescent="0.15">
      <c r="B98" s="34" t="s">
        <v>280</v>
      </c>
      <c r="C98" s="35" t="s">
        <v>216</v>
      </c>
      <c r="D98" s="35" t="s">
        <v>281</v>
      </c>
      <c r="E98" s="36" t="s">
        <v>282</v>
      </c>
      <c r="F98" s="37" t="s">
        <v>42</v>
      </c>
      <c r="G98" s="56" t="s">
        <v>42</v>
      </c>
      <c r="H98" s="57" t="s">
        <v>101</v>
      </c>
      <c r="I98" s="37"/>
      <c r="J98" s="39"/>
      <c r="K98" s="35"/>
      <c r="L98" s="37"/>
      <c r="M98" s="57" t="s">
        <v>102</v>
      </c>
      <c r="N98" s="35"/>
    </row>
    <row r="99" spans="2:14" ht="54" customHeight="1" x14ac:dyDescent="0.15">
      <c r="B99" s="34" t="s">
        <v>283</v>
      </c>
      <c r="C99" s="35" t="s">
        <v>216</v>
      </c>
      <c r="D99" s="35" t="s">
        <v>281</v>
      </c>
      <c r="E99" s="36" t="s">
        <v>284</v>
      </c>
      <c r="F99" s="37" t="s">
        <v>42</v>
      </c>
      <c r="G99" s="56" t="s">
        <v>42</v>
      </c>
      <c r="H99" s="57" t="s">
        <v>101</v>
      </c>
      <c r="I99" s="37"/>
      <c r="J99" s="39"/>
      <c r="K99" s="35"/>
      <c r="L99" s="37"/>
      <c r="M99" s="57" t="s">
        <v>102</v>
      </c>
      <c r="N99" s="35"/>
    </row>
    <row r="100" spans="2:14" ht="54" customHeight="1" x14ac:dyDescent="0.15">
      <c r="B100" s="34" t="s">
        <v>285</v>
      </c>
      <c r="C100" s="35" t="s">
        <v>216</v>
      </c>
      <c r="D100" s="35" t="s">
        <v>281</v>
      </c>
      <c r="E100" s="36" t="s">
        <v>286</v>
      </c>
      <c r="F100" s="37" t="s">
        <v>51</v>
      </c>
      <c r="G100" s="56" t="s">
        <v>129</v>
      </c>
      <c r="H100" s="57" t="s">
        <v>52</v>
      </c>
      <c r="I100" s="37"/>
      <c r="J100" s="39"/>
      <c r="K100" s="35"/>
      <c r="L100" s="37"/>
      <c r="M100" s="57" t="s">
        <v>287</v>
      </c>
      <c r="N100" s="35"/>
    </row>
    <row r="101" spans="2:14" ht="54" customHeight="1" x14ac:dyDescent="0.15">
      <c r="B101" s="34" t="s">
        <v>288</v>
      </c>
      <c r="C101" s="35" t="s">
        <v>216</v>
      </c>
      <c r="D101" s="35" t="s">
        <v>281</v>
      </c>
      <c r="E101" s="36" t="s">
        <v>289</v>
      </c>
      <c r="F101" s="37" t="s">
        <v>51</v>
      </c>
      <c r="G101" s="56" t="s">
        <v>266</v>
      </c>
      <c r="H101" s="57" t="s">
        <v>52</v>
      </c>
      <c r="I101" s="37"/>
      <c r="J101" s="38"/>
      <c r="K101" s="35"/>
      <c r="L101" s="37"/>
      <c r="M101" s="57" t="s">
        <v>290</v>
      </c>
      <c r="N101" s="35"/>
    </row>
    <row r="102" spans="2:14" ht="54" customHeight="1" x14ac:dyDescent="0.15">
      <c r="B102" s="34" t="s">
        <v>291</v>
      </c>
      <c r="C102" s="35" t="s">
        <v>216</v>
      </c>
      <c r="D102" s="35" t="s">
        <v>281</v>
      </c>
      <c r="E102" s="36" t="s">
        <v>292</v>
      </c>
      <c r="F102" s="37" t="s">
        <v>114</v>
      </c>
      <c r="G102" s="56" t="s">
        <v>266</v>
      </c>
      <c r="H102" s="57" t="s">
        <v>52</v>
      </c>
      <c r="I102" s="37"/>
      <c r="J102" s="38"/>
      <c r="K102" s="35"/>
      <c r="L102" s="37"/>
      <c r="M102" s="57" t="s">
        <v>293</v>
      </c>
      <c r="N102" s="35"/>
    </row>
    <row r="103" spans="2:14" ht="42" customHeight="1" x14ac:dyDescent="0.15">
      <c r="B103" s="34" t="s">
        <v>294</v>
      </c>
      <c r="C103" s="35" t="s">
        <v>295</v>
      </c>
      <c r="D103" s="35" t="s">
        <v>296</v>
      </c>
      <c r="E103" s="36" t="s">
        <v>297</v>
      </c>
      <c r="F103" s="37" t="s">
        <v>42</v>
      </c>
      <c r="G103" s="56" t="s">
        <v>42</v>
      </c>
      <c r="H103" s="57" t="s">
        <v>61</v>
      </c>
      <c r="I103" s="37"/>
      <c r="J103" s="38"/>
      <c r="K103" s="35"/>
      <c r="L103" s="37"/>
      <c r="M103" s="57" t="s">
        <v>62</v>
      </c>
      <c r="N103" s="35"/>
    </row>
    <row r="104" spans="2:14" ht="54" customHeight="1" x14ac:dyDescent="0.15">
      <c r="B104" s="34" t="s">
        <v>298</v>
      </c>
      <c r="C104" s="35" t="s">
        <v>295</v>
      </c>
      <c r="D104" s="35" t="s">
        <v>296</v>
      </c>
      <c r="E104" s="36" t="s">
        <v>299</v>
      </c>
      <c r="F104" s="37" t="s">
        <v>42</v>
      </c>
      <c r="G104" s="56" t="s">
        <v>42</v>
      </c>
      <c r="H104" s="57" t="s">
        <v>61</v>
      </c>
      <c r="I104" s="37"/>
      <c r="J104" s="41"/>
      <c r="K104" s="35"/>
      <c r="L104" s="37"/>
      <c r="M104" s="57" t="s">
        <v>62</v>
      </c>
      <c r="N104" s="35"/>
    </row>
    <row r="105" spans="2:14" ht="54" customHeight="1" x14ac:dyDescent="0.15">
      <c r="B105" s="34" t="s">
        <v>300</v>
      </c>
      <c r="C105" s="35" t="s">
        <v>295</v>
      </c>
      <c r="D105" s="35" t="s">
        <v>296</v>
      </c>
      <c r="E105" s="36" t="s">
        <v>301</v>
      </c>
      <c r="F105" s="37" t="s">
        <v>42</v>
      </c>
      <c r="G105" s="56" t="s">
        <v>42</v>
      </c>
      <c r="H105" s="57" t="s">
        <v>61</v>
      </c>
      <c r="I105" s="37"/>
      <c r="J105" s="38"/>
      <c r="K105" s="35"/>
      <c r="L105" s="37"/>
      <c r="M105" s="57" t="s">
        <v>62</v>
      </c>
      <c r="N105" s="35"/>
    </row>
    <row r="106" spans="2:14" ht="54" customHeight="1" x14ac:dyDescent="0.15">
      <c r="B106" s="34" t="s">
        <v>302</v>
      </c>
      <c r="C106" s="35" t="s">
        <v>295</v>
      </c>
      <c r="D106" s="35" t="s">
        <v>296</v>
      </c>
      <c r="E106" s="36" t="s">
        <v>303</v>
      </c>
      <c r="F106" s="37" t="s">
        <v>42</v>
      </c>
      <c r="G106" s="56" t="s">
        <v>42</v>
      </c>
      <c r="H106" s="57" t="s">
        <v>61</v>
      </c>
      <c r="I106" s="37"/>
      <c r="J106" s="38"/>
      <c r="K106" s="35"/>
      <c r="L106" s="37"/>
      <c r="M106" s="57" t="s">
        <v>62</v>
      </c>
      <c r="N106" s="35"/>
    </row>
    <row r="107" spans="2:14" ht="54" customHeight="1" x14ac:dyDescent="0.15">
      <c r="B107" s="34" t="s">
        <v>304</v>
      </c>
      <c r="C107" s="35" t="s">
        <v>295</v>
      </c>
      <c r="D107" s="35" t="s">
        <v>296</v>
      </c>
      <c r="E107" s="36" t="s">
        <v>305</v>
      </c>
      <c r="F107" s="37" t="s">
        <v>42</v>
      </c>
      <c r="G107" s="56" t="s">
        <v>42</v>
      </c>
      <c r="H107" s="57" t="s">
        <v>61</v>
      </c>
      <c r="I107" s="37"/>
      <c r="J107" s="40"/>
      <c r="K107" s="35"/>
      <c r="L107" s="37"/>
      <c r="M107" s="57" t="s">
        <v>62</v>
      </c>
      <c r="N107" s="35"/>
    </row>
    <row r="108" spans="2:14" ht="54" customHeight="1" x14ac:dyDescent="0.15">
      <c r="B108" s="34" t="s">
        <v>306</v>
      </c>
      <c r="C108" s="35" t="s">
        <v>295</v>
      </c>
      <c r="D108" s="35" t="s">
        <v>296</v>
      </c>
      <c r="E108" s="36" t="s">
        <v>307</v>
      </c>
      <c r="F108" s="37" t="s">
        <v>42</v>
      </c>
      <c r="G108" s="56" t="s">
        <v>51</v>
      </c>
      <c r="H108" s="57" t="s">
        <v>52</v>
      </c>
      <c r="I108" s="37"/>
      <c r="J108" s="40"/>
      <c r="K108" s="35"/>
      <c r="L108" s="37"/>
      <c r="M108" s="57" t="s">
        <v>308</v>
      </c>
      <c r="N108" s="35"/>
    </row>
    <row r="109" spans="2:14" ht="54" customHeight="1" x14ac:dyDescent="0.15">
      <c r="B109" s="34" t="s">
        <v>309</v>
      </c>
      <c r="C109" s="35" t="s">
        <v>295</v>
      </c>
      <c r="D109" s="35" t="s">
        <v>296</v>
      </c>
      <c r="E109" s="36" t="s">
        <v>310</v>
      </c>
      <c r="F109" s="37" t="s">
        <v>311</v>
      </c>
      <c r="G109" s="56" t="s">
        <v>312</v>
      </c>
      <c r="H109" s="57" t="s">
        <v>52</v>
      </c>
      <c r="I109" s="37"/>
      <c r="J109" s="38"/>
      <c r="K109" s="35"/>
      <c r="L109" s="37"/>
      <c r="M109" s="57" t="s">
        <v>313</v>
      </c>
      <c r="N109" s="35"/>
    </row>
    <row r="110" spans="2:14" ht="54" customHeight="1" x14ac:dyDescent="0.15">
      <c r="B110" s="34" t="s">
        <v>314</v>
      </c>
      <c r="C110" s="35" t="s">
        <v>295</v>
      </c>
      <c r="D110" s="35" t="s">
        <v>296</v>
      </c>
      <c r="E110" s="36" t="s">
        <v>315</v>
      </c>
      <c r="F110" s="37" t="s">
        <v>42</v>
      </c>
      <c r="G110" s="56" t="s">
        <v>316</v>
      </c>
      <c r="H110" s="57" t="s">
        <v>52</v>
      </c>
      <c r="I110" s="37"/>
      <c r="J110" s="38"/>
      <c r="K110" s="35"/>
      <c r="L110" s="37"/>
      <c r="M110" s="57" t="s">
        <v>317</v>
      </c>
      <c r="N110" s="35"/>
    </row>
    <row r="111" spans="2:14" ht="54" customHeight="1" x14ac:dyDescent="0.15">
      <c r="B111" s="34" t="s">
        <v>318</v>
      </c>
      <c r="C111" s="35" t="s">
        <v>295</v>
      </c>
      <c r="D111" s="35" t="s">
        <v>296</v>
      </c>
      <c r="E111" s="36" t="s">
        <v>319</v>
      </c>
      <c r="F111" s="37" t="s">
        <v>42</v>
      </c>
      <c r="G111" s="56" t="s">
        <v>42</v>
      </c>
      <c r="H111" s="57" t="s">
        <v>101</v>
      </c>
      <c r="I111" s="37"/>
      <c r="J111" s="41"/>
      <c r="K111" s="35"/>
      <c r="L111" s="37"/>
      <c r="M111" s="57" t="s">
        <v>102</v>
      </c>
      <c r="N111" s="35"/>
    </row>
    <row r="112" spans="2:14" ht="54" customHeight="1" x14ac:dyDescent="0.15">
      <c r="B112" s="34" t="s">
        <v>320</v>
      </c>
      <c r="C112" s="35" t="s">
        <v>295</v>
      </c>
      <c r="D112" s="35" t="s">
        <v>296</v>
      </c>
      <c r="E112" s="36" t="s">
        <v>321</v>
      </c>
      <c r="F112" s="37" t="s">
        <v>42</v>
      </c>
      <c r="G112" s="56" t="s">
        <v>42</v>
      </c>
      <c r="H112" s="57" t="s">
        <v>101</v>
      </c>
      <c r="I112" s="37"/>
      <c r="J112" s="39"/>
      <c r="K112" s="35"/>
      <c r="L112" s="37"/>
      <c r="M112" s="57" t="s">
        <v>102</v>
      </c>
      <c r="N112" s="35"/>
    </row>
    <row r="113" spans="2:14" ht="54" customHeight="1" x14ac:dyDescent="0.15">
      <c r="B113" s="34" t="s">
        <v>322</v>
      </c>
      <c r="C113" s="35" t="s">
        <v>295</v>
      </c>
      <c r="D113" s="35" t="s">
        <v>323</v>
      </c>
      <c r="E113" s="36" t="s">
        <v>324</v>
      </c>
      <c r="F113" s="37" t="s">
        <v>42</v>
      </c>
      <c r="G113" s="56" t="s">
        <v>51</v>
      </c>
      <c r="H113" s="57" t="s">
        <v>52</v>
      </c>
      <c r="I113" s="37"/>
      <c r="J113" s="39"/>
      <c r="K113" s="35"/>
      <c r="L113" s="37"/>
      <c r="M113" s="57" t="s">
        <v>325</v>
      </c>
      <c r="N113" s="35"/>
    </row>
    <row r="114" spans="2:14" ht="54" customHeight="1" x14ac:dyDescent="0.15">
      <c r="B114" s="34" t="s">
        <v>326</v>
      </c>
      <c r="C114" s="35" t="s">
        <v>295</v>
      </c>
      <c r="D114" s="35" t="s">
        <v>323</v>
      </c>
      <c r="E114" s="36" t="s">
        <v>327</v>
      </c>
      <c r="F114" s="37" t="s">
        <v>42</v>
      </c>
      <c r="G114" s="56" t="s">
        <v>129</v>
      </c>
      <c r="H114" s="57" t="s">
        <v>52</v>
      </c>
      <c r="I114" s="37"/>
      <c r="J114" s="36"/>
      <c r="K114" s="35"/>
      <c r="L114" s="37"/>
      <c r="M114" s="57" t="s">
        <v>328</v>
      </c>
      <c r="N114" s="35"/>
    </row>
    <row r="115" spans="2:14" ht="54" customHeight="1" x14ac:dyDescent="0.15">
      <c r="B115" s="34" t="s">
        <v>329</v>
      </c>
      <c r="C115" s="35" t="s">
        <v>295</v>
      </c>
      <c r="D115" s="35" t="s">
        <v>323</v>
      </c>
      <c r="E115" s="36" t="s">
        <v>330</v>
      </c>
      <c r="F115" s="37" t="s">
        <v>42</v>
      </c>
      <c r="G115" s="56" t="s">
        <v>42</v>
      </c>
      <c r="H115" s="57" t="s">
        <v>61</v>
      </c>
      <c r="I115" s="37"/>
      <c r="J115" s="39"/>
      <c r="K115" s="35"/>
      <c r="L115" s="37"/>
      <c r="M115" s="57" t="s">
        <v>62</v>
      </c>
      <c r="N115" s="35"/>
    </row>
    <row r="116" spans="2:14" ht="54" customHeight="1" x14ac:dyDescent="0.15">
      <c r="B116" s="34" t="s">
        <v>331</v>
      </c>
      <c r="C116" s="35" t="s">
        <v>295</v>
      </c>
      <c r="D116" s="35" t="s">
        <v>323</v>
      </c>
      <c r="E116" s="36" t="s">
        <v>332</v>
      </c>
      <c r="F116" s="37" t="s">
        <v>42</v>
      </c>
      <c r="G116" s="56" t="s">
        <v>42</v>
      </c>
      <c r="H116" s="57" t="s">
        <v>61</v>
      </c>
      <c r="I116" s="37"/>
      <c r="J116" s="39"/>
      <c r="K116" s="35"/>
      <c r="L116" s="37"/>
      <c r="M116" s="57" t="s">
        <v>62</v>
      </c>
      <c r="N116" s="35"/>
    </row>
    <row r="117" spans="2:14" ht="54" customHeight="1" x14ac:dyDescent="0.15">
      <c r="B117" s="34" t="s">
        <v>333</v>
      </c>
      <c r="C117" s="35" t="s">
        <v>295</v>
      </c>
      <c r="D117" s="35" t="s">
        <v>323</v>
      </c>
      <c r="E117" s="36" t="s">
        <v>334</v>
      </c>
      <c r="F117" s="37" t="s">
        <v>42</v>
      </c>
      <c r="G117" s="56" t="s">
        <v>51</v>
      </c>
      <c r="H117" s="57" t="s">
        <v>52</v>
      </c>
      <c r="I117" s="37"/>
      <c r="J117" s="38"/>
      <c r="K117" s="35"/>
      <c r="L117" s="37"/>
      <c r="M117" s="57" t="s">
        <v>335</v>
      </c>
      <c r="N117" s="35"/>
    </row>
    <row r="118" spans="2:14" ht="54" customHeight="1" x14ac:dyDescent="0.15">
      <c r="B118" s="34" t="s">
        <v>336</v>
      </c>
      <c r="C118" s="35" t="s">
        <v>295</v>
      </c>
      <c r="D118" s="35" t="s">
        <v>323</v>
      </c>
      <c r="E118" s="36" t="s">
        <v>337</v>
      </c>
      <c r="F118" s="37" t="s">
        <v>42</v>
      </c>
      <c r="G118" s="56" t="s">
        <v>42</v>
      </c>
      <c r="H118" s="57" t="s">
        <v>61</v>
      </c>
      <c r="I118" s="37"/>
      <c r="J118" s="39"/>
      <c r="K118" s="35"/>
      <c r="L118" s="37"/>
      <c r="M118" s="57" t="s">
        <v>62</v>
      </c>
      <c r="N118" s="35"/>
    </row>
    <row r="119" spans="2:14" ht="54" customHeight="1" x14ac:dyDescent="0.15">
      <c r="B119" s="34" t="s">
        <v>338</v>
      </c>
      <c r="C119" s="35" t="s">
        <v>295</v>
      </c>
      <c r="D119" s="35" t="s">
        <v>323</v>
      </c>
      <c r="E119" s="36" t="s">
        <v>339</v>
      </c>
      <c r="F119" s="37" t="s">
        <v>42</v>
      </c>
      <c r="G119" s="56" t="s">
        <v>42</v>
      </c>
      <c r="H119" s="57" t="s">
        <v>61</v>
      </c>
      <c r="I119" s="37"/>
      <c r="J119" s="39"/>
      <c r="K119" s="35"/>
      <c r="L119" s="37"/>
      <c r="M119" s="57" t="s">
        <v>62</v>
      </c>
      <c r="N119" s="35"/>
    </row>
    <row r="120" spans="2:14" ht="54" customHeight="1" x14ac:dyDescent="0.15">
      <c r="B120" s="34" t="s">
        <v>340</v>
      </c>
      <c r="C120" s="35" t="s">
        <v>295</v>
      </c>
      <c r="D120" s="35" t="s">
        <v>323</v>
      </c>
      <c r="E120" s="36" t="s">
        <v>341</v>
      </c>
      <c r="F120" s="37" t="s">
        <v>42</v>
      </c>
      <c r="G120" s="56" t="s">
        <v>42</v>
      </c>
      <c r="H120" s="57" t="s">
        <v>61</v>
      </c>
      <c r="I120" s="37"/>
      <c r="J120" s="38"/>
      <c r="K120" s="35"/>
      <c r="L120" s="37"/>
      <c r="M120" s="57" t="s">
        <v>62</v>
      </c>
      <c r="N120" s="35"/>
    </row>
    <row r="121" spans="2:14" ht="54" customHeight="1" x14ac:dyDescent="0.15">
      <c r="B121" s="34" t="s">
        <v>342</v>
      </c>
      <c r="C121" s="35" t="s">
        <v>295</v>
      </c>
      <c r="D121" s="35" t="s">
        <v>323</v>
      </c>
      <c r="E121" s="36" t="s">
        <v>343</v>
      </c>
      <c r="F121" s="37" t="s">
        <v>51</v>
      </c>
      <c r="G121" s="56" t="s">
        <v>51</v>
      </c>
      <c r="H121" s="57" t="s">
        <v>52</v>
      </c>
      <c r="I121" s="37"/>
      <c r="J121" s="36"/>
      <c r="K121" s="35"/>
      <c r="L121" s="37"/>
      <c r="M121" s="57" t="s">
        <v>344</v>
      </c>
      <c r="N121" s="35"/>
    </row>
    <row r="122" spans="2:14" ht="54" customHeight="1" x14ac:dyDescent="0.15">
      <c r="B122" s="34" t="s">
        <v>345</v>
      </c>
      <c r="C122" s="35" t="s">
        <v>295</v>
      </c>
      <c r="D122" s="35" t="s">
        <v>323</v>
      </c>
      <c r="E122" s="36" t="s">
        <v>346</v>
      </c>
      <c r="F122" s="37" t="s">
        <v>42</v>
      </c>
      <c r="G122" s="56" t="s">
        <v>42</v>
      </c>
      <c r="H122" s="57" t="s">
        <v>43</v>
      </c>
      <c r="I122" s="37"/>
      <c r="J122" s="41"/>
      <c r="K122" s="35"/>
      <c r="L122" s="37"/>
      <c r="M122" s="57" t="s">
        <v>44</v>
      </c>
      <c r="N122" s="35"/>
    </row>
    <row r="123" spans="2:14" ht="54" customHeight="1" x14ac:dyDescent="0.15">
      <c r="B123" s="34" t="s">
        <v>347</v>
      </c>
      <c r="C123" s="35" t="s">
        <v>295</v>
      </c>
      <c r="D123" s="35" t="s">
        <v>348</v>
      </c>
      <c r="E123" s="36" t="s">
        <v>349</v>
      </c>
      <c r="F123" s="37" t="s">
        <v>42</v>
      </c>
      <c r="G123" s="56" t="s">
        <v>129</v>
      </c>
      <c r="H123" s="57" t="s">
        <v>52</v>
      </c>
      <c r="I123" s="37"/>
      <c r="J123" s="39"/>
      <c r="K123" s="35"/>
      <c r="L123" s="37"/>
      <c r="M123" s="57" t="s">
        <v>350</v>
      </c>
      <c r="N123" s="35"/>
    </row>
    <row r="124" spans="2:14" ht="54" customHeight="1" x14ac:dyDescent="0.15">
      <c r="B124" s="34" t="s">
        <v>351</v>
      </c>
      <c r="C124" s="35" t="s">
        <v>295</v>
      </c>
      <c r="D124" s="35" t="s">
        <v>348</v>
      </c>
      <c r="E124" s="36" t="s">
        <v>352</v>
      </c>
      <c r="F124" s="37" t="s">
        <v>51</v>
      </c>
      <c r="G124" s="56" t="s">
        <v>51</v>
      </c>
      <c r="H124" s="57" t="s">
        <v>61</v>
      </c>
      <c r="I124" s="37"/>
      <c r="J124" s="39"/>
      <c r="K124" s="35"/>
      <c r="L124" s="37"/>
      <c r="M124" s="57" t="s">
        <v>62</v>
      </c>
      <c r="N124" s="35"/>
    </row>
    <row r="125" spans="2:14" ht="54" customHeight="1" x14ac:dyDescent="0.15">
      <c r="B125" s="34" t="s">
        <v>353</v>
      </c>
      <c r="C125" s="35" t="s">
        <v>295</v>
      </c>
      <c r="D125" s="35" t="s">
        <v>348</v>
      </c>
      <c r="E125" s="36" t="s">
        <v>354</v>
      </c>
      <c r="F125" s="37" t="s">
        <v>42</v>
      </c>
      <c r="G125" s="56" t="s">
        <v>42</v>
      </c>
      <c r="H125" s="57" t="s">
        <v>61</v>
      </c>
      <c r="I125" s="37"/>
      <c r="J125" s="36"/>
      <c r="K125" s="35"/>
      <c r="L125" s="37"/>
      <c r="M125" s="57" t="s">
        <v>62</v>
      </c>
      <c r="N125" s="35"/>
    </row>
    <row r="126" spans="2:14" ht="54" customHeight="1" x14ac:dyDescent="0.15">
      <c r="B126" s="34" t="s">
        <v>355</v>
      </c>
      <c r="C126" s="35" t="s">
        <v>295</v>
      </c>
      <c r="D126" s="35" t="s">
        <v>348</v>
      </c>
      <c r="E126" s="36" t="s">
        <v>356</v>
      </c>
      <c r="F126" s="37" t="s">
        <v>42</v>
      </c>
      <c r="G126" s="56" t="s">
        <v>42</v>
      </c>
      <c r="H126" s="57" t="s">
        <v>61</v>
      </c>
      <c r="I126" s="37"/>
      <c r="J126" s="39"/>
      <c r="K126" s="35"/>
      <c r="L126" s="37"/>
      <c r="M126" s="57" t="s">
        <v>62</v>
      </c>
      <c r="N126" s="35"/>
    </row>
    <row r="127" spans="2:14" ht="54" customHeight="1" x14ac:dyDescent="0.15">
      <c r="B127" s="34" t="s">
        <v>357</v>
      </c>
      <c r="C127" s="35" t="s">
        <v>295</v>
      </c>
      <c r="D127" s="35" t="s">
        <v>348</v>
      </c>
      <c r="E127" s="36" t="s">
        <v>358</v>
      </c>
      <c r="F127" s="37" t="s">
        <v>51</v>
      </c>
      <c r="G127" s="56" t="s">
        <v>51</v>
      </c>
      <c r="H127" s="57" t="s">
        <v>61</v>
      </c>
      <c r="I127" s="37"/>
      <c r="J127" s="39"/>
      <c r="K127" s="35"/>
      <c r="L127" s="37"/>
      <c r="M127" s="57" t="s">
        <v>62</v>
      </c>
      <c r="N127" s="35"/>
    </row>
    <row r="128" spans="2:14" ht="54" customHeight="1" x14ac:dyDescent="0.15">
      <c r="B128" s="34" t="s">
        <v>359</v>
      </c>
      <c r="C128" s="35" t="s">
        <v>295</v>
      </c>
      <c r="D128" s="35" t="s">
        <v>348</v>
      </c>
      <c r="E128" s="36" t="s">
        <v>360</v>
      </c>
      <c r="F128" s="37" t="s">
        <v>51</v>
      </c>
      <c r="G128" s="56" t="s">
        <v>129</v>
      </c>
      <c r="H128" s="57" t="s">
        <v>52</v>
      </c>
      <c r="I128" s="37"/>
      <c r="J128" s="41"/>
      <c r="K128" s="35"/>
      <c r="L128" s="37"/>
      <c r="M128" s="57" t="s">
        <v>361</v>
      </c>
      <c r="N128" s="35"/>
    </row>
    <row r="129" spans="2:14" ht="54" customHeight="1" x14ac:dyDescent="0.15">
      <c r="B129" s="34" t="s">
        <v>362</v>
      </c>
      <c r="C129" s="35" t="s">
        <v>295</v>
      </c>
      <c r="D129" s="35" t="s">
        <v>348</v>
      </c>
      <c r="E129" s="36" t="s">
        <v>363</v>
      </c>
      <c r="F129" s="37" t="s">
        <v>51</v>
      </c>
      <c r="G129" s="56" t="s">
        <v>51</v>
      </c>
      <c r="H129" s="57" t="s">
        <v>52</v>
      </c>
      <c r="I129" s="37"/>
      <c r="J129" s="39"/>
      <c r="K129" s="35"/>
      <c r="L129" s="37"/>
      <c r="M129" s="57" t="s">
        <v>364</v>
      </c>
      <c r="N129" s="35"/>
    </row>
    <row r="130" spans="2:14" ht="54" customHeight="1" x14ac:dyDescent="0.15">
      <c r="B130" s="34" t="s">
        <v>365</v>
      </c>
      <c r="C130" s="35" t="s">
        <v>295</v>
      </c>
      <c r="D130" s="35" t="s">
        <v>348</v>
      </c>
      <c r="E130" s="36" t="s">
        <v>366</v>
      </c>
      <c r="F130" s="37" t="s">
        <v>42</v>
      </c>
      <c r="G130" s="56" t="s">
        <v>42</v>
      </c>
      <c r="H130" s="57" t="s">
        <v>101</v>
      </c>
      <c r="I130" s="37"/>
      <c r="J130" s="39"/>
      <c r="K130" s="35"/>
      <c r="L130" s="37"/>
      <c r="M130" s="57" t="s">
        <v>102</v>
      </c>
      <c r="N130" s="35"/>
    </row>
    <row r="131" spans="2:14" ht="54" customHeight="1" x14ac:dyDescent="0.15">
      <c r="B131" s="34" t="s">
        <v>367</v>
      </c>
      <c r="C131" s="35" t="s">
        <v>295</v>
      </c>
      <c r="D131" s="35" t="s">
        <v>348</v>
      </c>
      <c r="E131" s="36" t="s">
        <v>368</v>
      </c>
      <c r="F131" s="37" t="s">
        <v>42</v>
      </c>
      <c r="G131" s="56" t="s">
        <v>42</v>
      </c>
      <c r="H131" s="57" t="s">
        <v>61</v>
      </c>
      <c r="I131" s="37"/>
      <c r="J131" s="38"/>
      <c r="K131" s="35"/>
      <c r="L131" s="37"/>
      <c r="M131" s="57" t="s">
        <v>62</v>
      </c>
      <c r="N131" s="35"/>
    </row>
    <row r="132" spans="2:14" ht="54" customHeight="1" x14ac:dyDescent="0.15">
      <c r="B132" s="34" t="s">
        <v>369</v>
      </c>
      <c r="C132" s="35" t="s">
        <v>295</v>
      </c>
      <c r="D132" s="35" t="s">
        <v>348</v>
      </c>
      <c r="E132" s="36" t="s">
        <v>370</v>
      </c>
      <c r="F132" s="37" t="s">
        <v>51</v>
      </c>
      <c r="G132" s="56" t="s">
        <v>129</v>
      </c>
      <c r="H132" s="57" t="s">
        <v>52</v>
      </c>
      <c r="I132" s="37"/>
      <c r="J132" s="39"/>
      <c r="K132" s="35"/>
      <c r="L132" s="37"/>
      <c r="M132" s="57" t="s">
        <v>371</v>
      </c>
      <c r="N132" s="35"/>
    </row>
    <row r="133" spans="2:14" ht="54" customHeight="1" x14ac:dyDescent="0.15">
      <c r="B133" s="34" t="s">
        <v>372</v>
      </c>
      <c r="C133" s="35" t="s">
        <v>295</v>
      </c>
      <c r="D133" s="35" t="s">
        <v>348</v>
      </c>
      <c r="E133" s="36" t="s">
        <v>373</v>
      </c>
      <c r="F133" s="37" t="s">
        <v>114</v>
      </c>
      <c r="G133" s="56" t="s">
        <v>129</v>
      </c>
      <c r="H133" s="57" t="s">
        <v>52</v>
      </c>
      <c r="I133" s="37"/>
      <c r="J133" s="36"/>
      <c r="K133" s="35"/>
      <c r="L133" s="37"/>
      <c r="M133" s="57" t="s">
        <v>374</v>
      </c>
      <c r="N133" s="35"/>
    </row>
    <row r="134" spans="2:14" ht="54" customHeight="1" x14ac:dyDescent="0.15">
      <c r="B134" s="34" t="s">
        <v>375</v>
      </c>
      <c r="C134" s="35" t="s">
        <v>295</v>
      </c>
      <c r="D134" s="35" t="s">
        <v>348</v>
      </c>
      <c r="E134" s="36" t="s">
        <v>376</v>
      </c>
      <c r="F134" s="37" t="s">
        <v>51</v>
      </c>
      <c r="G134" s="56" t="s">
        <v>51</v>
      </c>
      <c r="H134" s="57" t="s">
        <v>61</v>
      </c>
      <c r="I134" s="37"/>
      <c r="J134" s="39"/>
      <c r="K134" s="35"/>
      <c r="L134" s="37"/>
      <c r="M134" s="57" t="s">
        <v>62</v>
      </c>
      <c r="N134" s="35"/>
    </row>
    <row r="135" spans="2:14" ht="54" customHeight="1" x14ac:dyDescent="0.15">
      <c r="B135" s="34" t="s">
        <v>377</v>
      </c>
      <c r="C135" s="35" t="s">
        <v>295</v>
      </c>
      <c r="D135" s="35" t="s">
        <v>348</v>
      </c>
      <c r="E135" s="36" t="s">
        <v>378</v>
      </c>
      <c r="F135" s="37" t="s">
        <v>114</v>
      </c>
      <c r="G135" s="56" t="s">
        <v>129</v>
      </c>
      <c r="H135" s="57" t="s">
        <v>52</v>
      </c>
      <c r="I135" s="37"/>
      <c r="J135" s="36"/>
      <c r="K135" s="35"/>
      <c r="L135" s="37"/>
      <c r="M135" s="57" t="s">
        <v>379</v>
      </c>
      <c r="N135" s="35"/>
    </row>
    <row r="136" spans="2:14" ht="54" customHeight="1" x14ac:dyDescent="0.15">
      <c r="B136" s="34" t="s">
        <v>380</v>
      </c>
      <c r="C136" s="35" t="s">
        <v>295</v>
      </c>
      <c r="D136" s="35" t="s">
        <v>348</v>
      </c>
      <c r="E136" s="36" t="s">
        <v>381</v>
      </c>
      <c r="F136" s="37" t="s">
        <v>42</v>
      </c>
      <c r="G136" s="56" t="s">
        <v>42</v>
      </c>
      <c r="H136" s="57" t="s">
        <v>61</v>
      </c>
      <c r="I136" s="37"/>
      <c r="J136" s="39"/>
      <c r="K136" s="35"/>
      <c r="L136" s="37"/>
      <c r="M136" s="57" t="s">
        <v>62</v>
      </c>
      <c r="N136" s="35"/>
    </row>
    <row r="137" spans="2:14" ht="54" customHeight="1" x14ac:dyDescent="0.15">
      <c r="B137" s="34" t="s">
        <v>382</v>
      </c>
      <c r="C137" s="35" t="s">
        <v>295</v>
      </c>
      <c r="D137" s="35" t="s">
        <v>383</v>
      </c>
      <c r="E137" s="36" t="s">
        <v>384</v>
      </c>
      <c r="F137" s="37" t="s">
        <v>42</v>
      </c>
      <c r="G137" s="56" t="s">
        <v>42</v>
      </c>
      <c r="H137" s="57" t="s">
        <v>43</v>
      </c>
      <c r="I137" s="37"/>
      <c r="J137" s="39"/>
      <c r="K137" s="35"/>
      <c r="L137" s="37"/>
      <c r="M137" s="57" t="s">
        <v>44</v>
      </c>
      <c r="N137" s="35"/>
    </row>
    <row r="138" spans="2:14" ht="54" customHeight="1" x14ac:dyDescent="0.15">
      <c r="B138" s="34" t="s">
        <v>385</v>
      </c>
      <c r="C138" s="35" t="s">
        <v>295</v>
      </c>
      <c r="D138" s="35" t="s">
        <v>383</v>
      </c>
      <c r="E138" s="36" t="s">
        <v>386</v>
      </c>
      <c r="F138" s="37" t="s">
        <v>42</v>
      </c>
      <c r="G138" s="56" t="s">
        <v>42</v>
      </c>
      <c r="H138" s="57" t="s">
        <v>43</v>
      </c>
      <c r="I138" s="37"/>
      <c r="J138" s="39"/>
      <c r="K138" s="35"/>
      <c r="L138" s="37"/>
      <c r="M138" s="57" t="s">
        <v>44</v>
      </c>
      <c r="N138" s="35"/>
    </row>
    <row r="139" spans="2:14" ht="54" customHeight="1" x14ac:dyDescent="0.15">
      <c r="B139" s="34" t="s">
        <v>387</v>
      </c>
      <c r="C139" s="35" t="s">
        <v>295</v>
      </c>
      <c r="D139" s="35" t="s">
        <v>383</v>
      </c>
      <c r="E139" s="36" t="s">
        <v>388</v>
      </c>
      <c r="F139" s="37" t="s">
        <v>42</v>
      </c>
      <c r="G139" s="56" t="s">
        <v>42</v>
      </c>
      <c r="H139" s="57" t="s">
        <v>43</v>
      </c>
      <c r="I139" s="37"/>
      <c r="J139" s="39"/>
      <c r="K139" s="35"/>
      <c r="L139" s="37"/>
      <c r="M139" s="57" t="s">
        <v>44</v>
      </c>
      <c r="N139" s="35"/>
    </row>
    <row r="140" spans="2:14" ht="54" customHeight="1" x14ac:dyDescent="0.15">
      <c r="B140" s="34" t="s">
        <v>389</v>
      </c>
      <c r="C140" s="35" t="s">
        <v>295</v>
      </c>
      <c r="D140" s="35" t="s">
        <v>383</v>
      </c>
      <c r="E140" s="36" t="s">
        <v>390</v>
      </c>
      <c r="F140" s="37" t="s">
        <v>51</v>
      </c>
      <c r="G140" s="56" t="s">
        <v>51</v>
      </c>
      <c r="H140" s="57" t="s">
        <v>52</v>
      </c>
      <c r="I140" s="37"/>
      <c r="J140" s="39"/>
      <c r="K140" s="35"/>
      <c r="L140" s="37"/>
      <c r="M140" s="57" t="s">
        <v>391</v>
      </c>
      <c r="N140" s="35"/>
    </row>
    <row r="141" spans="2:14" ht="54" customHeight="1" x14ac:dyDescent="0.15">
      <c r="B141" s="34" t="s">
        <v>392</v>
      </c>
      <c r="C141" s="35" t="s">
        <v>295</v>
      </c>
      <c r="D141" s="35" t="s">
        <v>383</v>
      </c>
      <c r="E141" s="36" t="s">
        <v>393</v>
      </c>
      <c r="F141" s="37" t="s">
        <v>51</v>
      </c>
      <c r="G141" s="56" t="s">
        <v>51</v>
      </c>
      <c r="H141" s="57" t="s">
        <v>52</v>
      </c>
      <c r="I141" s="37"/>
      <c r="J141" s="39"/>
      <c r="K141" s="35"/>
      <c r="L141" s="37"/>
      <c r="M141" s="57" t="s">
        <v>394</v>
      </c>
      <c r="N141" s="35"/>
    </row>
    <row r="142" spans="2:14" ht="54" customHeight="1" x14ac:dyDescent="0.15">
      <c r="B142" s="34" t="s">
        <v>395</v>
      </c>
      <c r="C142" s="35" t="s">
        <v>295</v>
      </c>
      <c r="D142" s="35" t="s">
        <v>383</v>
      </c>
      <c r="E142" s="36" t="s">
        <v>396</v>
      </c>
      <c r="F142" s="37" t="s">
        <v>42</v>
      </c>
      <c r="G142" s="56" t="s">
        <v>42</v>
      </c>
      <c r="H142" s="57" t="s">
        <v>43</v>
      </c>
      <c r="I142" s="37"/>
      <c r="J142" s="39"/>
      <c r="K142" s="35"/>
      <c r="L142" s="37"/>
      <c r="M142" s="57" t="s">
        <v>44</v>
      </c>
      <c r="N142" s="35"/>
    </row>
    <row r="143" spans="2:14" ht="54" customHeight="1" x14ac:dyDescent="0.15">
      <c r="B143" s="34" t="s">
        <v>397</v>
      </c>
      <c r="C143" s="35" t="s">
        <v>398</v>
      </c>
      <c r="D143" s="35" t="s">
        <v>399</v>
      </c>
      <c r="E143" s="36" t="s">
        <v>400</v>
      </c>
      <c r="F143" s="37" t="s">
        <v>51</v>
      </c>
      <c r="G143" s="56" t="s">
        <v>51</v>
      </c>
      <c r="H143" s="57" t="s">
        <v>61</v>
      </c>
      <c r="I143" s="37"/>
      <c r="J143" s="38"/>
      <c r="K143" s="35"/>
      <c r="L143" s="37"/>
      <c r="M143" s="57" t="s">
        <v>62</v>
      </c>
      <c r="N143" s="35"/>
    </row>
    <row r="144" spans="2:14" ht="54" customHeight="1" x14ac:dyDescent="0.15">
      <c r="B144" s="34" t="s">
        <v>401</v>
      </c>
      <c r="C144" s="35" t="s">
        <v>398</v>
      </c>
      <c r="D144" s="35" t="s">
        <v>399</v>
      </c>
      <c r="E144" s="36" t="s">
        <v>402</v>
      </c>
      <c r="F144" s="37" t="s">
        <v>51</v>
      </c>
      <c r="G144" s="56" t="s">
        <v>51</v>
      </c>
      <c r="H144" s="57" t="s">
        <v>61</v>
      </c>
      <c r="I144" s="37"/>
      <c r="J144" s="38"/>
      <c r="K144" s="35"/>
      <c r="L144" s="37"/>
      <c r="M144" s="57" t="s">
        <v>62</v>
      </c>
      <c r="N144" s="35"/>
    </row>
    <row r="145" spans="2:14" ht="54" customHeight="1" x14ac:dyDescent="0.15">
      <c r="B145" s="34" t="s">
        <v>403</v>
      </c>
      <c r="C145" s="35" t="s">
        <v>398</v>
      </c>
      <c r="D145" s="35" t="s">
        <v>399</v>
      </c>
      <c r="E145" s="36" t="s">
        <v>404</v>
      </c>
      <c r="F145" s="37" t="s">
        <v>51</v>
      </c>
      <c r="G145" s="56" t="s">
        <v>51</v>
      </c>
      <c r="H145" s="57" t="s">
        <v>153</v>
      </c>
      <c r="I145" s="37"/>
      <c r="J145" s="38"/>
      <c r="K145" s="35"/>
      <c r="L145" s="37"/>
      <c r="M145" s="57" t="s">
        <v>154</v>
      </c>
      <c r="N145" s="35"/>
    </row>
    <row r="146" spans="2:14" ht="54" customHeight="1" x14ac:dyDescent="0.15">
      <c r="B146" s="34" t="s">
        <v>405</v>
      </c>
      <c r="C146" s="35" t="s">
        <v>398</v>
      </c>
      <c r="D146" s="35" t="s">
        <v>399</v>
      </c>
      <c r="E146" s="36" t="s">
        <v>406</v>
      </c>
      <c r="F146" s="37" t="s">
        <v>51</v>
      </c>
      <c r="G146" s="56" t="s">
        <v>51</v>
      </c>
      <c r="H146" s="57" t="s">
        <v>43</v>
      </c>
      <c r="I146" s="37"/>
      <c r="J146" s="38"/>
      <c r="K146" s="35"/>
      <c r="L146" s="37"/>
      <c r="M146" s="57" t="s">
        <v>44</v>
      </c>
      <c r="N146" s="35"/>
    </row>
    <row r="147" spans="2:14" ht="54" customHeight="1" x14ac:dyDescent="0.15">
      <c r="B147" s="34" t="s">
        <v>407</v>
      </c>
      <c r="C147" s="35" t="s">
        <v>398</v>
      </c>
      <c r="D147" s="35" t="s">
        <v>399</v>
      </c>
      <c r="E147" s="36" t="s">
        <v>408</v>
      </c>
      <c r="F147" s="37" t="s">
        <v>42</v>
      </c>
      <c r="G147" s="56" t="s">
        <v>42</v>
      </c>
      <c r="H147" s="57" t="s">
        <v>153</v>
      </c>
      <c r="I147" s="37"/>
      <c r="J147" s="38"/>
      <c r="K147" s="35"/>
      <c r="L147" s="37"/>
      <c r="M147" s="57" t="s">
        <v>154</v>
      </c>
      <c r="N147" s="35"/>
    </row>
    <row r="148" spans="2:14" ht="54" customHeight="1" x14ac:dyDescent="0.15">
      <c r="B148" s="34" t="s">
        <v>409</v>
      </c>
      <c r="C148" s="35" t="s">
        <v>398</v>
      </c>
      <c r="D148" s="35" t="s">
        <v>399</v>
      </c>
      <c r="E148" s="36" t="s">
        <v>410</v>
      </c>
      <c r="F148" s="37" t="s">
        <v>42</v>
      </c>
      <c r="G148" s="56" t="s">
        <v>42</v>
      </c>
      <c r="H148" s="57" t="s">
        <v>153</v>
      </c>
      <c r="I148" s="37"/>
      <c r="J148" s="38"/>
      <c r="K148" s="35"/>
      <c r="L148" s="37"/>
      <c r="M148" s="57" t="s">
        <v>154</v>
      </c>
      <c r="N148" s="35"/>
    </row>
    <row r="149" spans="2:14" ht="54" customHeight="1" x14ac:dyDescent="0.15">
      <c r="B149" s="34" t="s">
        <v>411</v>
      </c>
      <c r="C149" s="35" t="s">
        <v>398</v>
      </c>
      <c r="D149" s="35" t="s">
        <v>399</v>
      </c>
      <c r="E149" s="36" t="s">
        <v>412</v>
      </c>
      <c r="F149" s="37" t="s">
        <v>114</v>
      </c>
      <c r="G149" s="56" t="s">
        <v>114</v>
      </c>
      <c r="H149" s="57" t="s">
        <v>153</v>
      </c>
      <c r="I149" s="37"/>
      <c r="J149" s="38"/>
      <c r="K149" s="35"/>
      <c r="L149" s="37"/>
      <c r="M149" s="57" t="s">
        <v>154</v>
      </c>
      <c r="N149" s="35"/>
    </row>
    <row r="150" spans="2:14" ht="54" customHeight="1" x14ac:dyDescent="0.15">
      <c r="B150" s="34" t="s">
        <v>413</v>
      </c>
      <c r="C150" s="35" t="s">
        <v>398</v>
      </c>
      <c r="D150" s="35" t="s">
        <v>399</v>
      </c>
      <c r="E150" s="36" t="s">
        <v>414</v>
      </c>
      <c r="F150" s="37" t="s">
        <v>114</v>
      </c>
      <c r="G150" s="56" t="s">
        <v>114</v>
      </c>
      <c r="H150" s="57" t="s">
        <v>61</v>
      </c>
      <c r="I150" s="37"/>
      <c r="J150" s="38"/>
      <c r="K150" s="35"/>
      <c r="L150" s="37"/>
      <c r="M150" s="57" t="s">
        <v>62</v>
      </c>
      <c r="N150" s="35"/>
    </row>
    <row r="151" spans="2:14" ht="54" customHeight="1" x14ac:dyDescent="0.15">
      <c r="B151" s="34" t="s">
        <v>415</v>
      </c>
      <c r="C151" s="35" t="s">
        <v>398</v>
      </c>
      <c r="D151" s="35" t="s">
        <v>399</v>
      </c>
      <c r="E151" s="36" t="s">
        <v>416</v>
      </c>
      <c r="F151" s="37" t="s">
        <v>51</v>
      </c>
      <c r="G151" s="56" t="s">
        <v>51</v>
      </c>
      <c r="H151" s="57" t="s">
        <v>153</v>
      </c>
      <c r="I151" s="37"/>
      <c r="J151" s="38"/>
      <c r="K151" s="35"/>
      <c r="L151" s="37"/>
      <c r="M151" s="57" t="s">
        <v>154</v>
      </c>
      <c r="N151" s="35"/>
    </row>
    <row r="152" spans="2:14" ht="54" customHeight="1" x14ac:dyDescent="0.15">
      <c r="B152" s="34" t="s">
        <v>417</v>
      </c>
      <c r="C152" s="35" t="s">
        <v>398</v>
      </c>
      <c r="D152" s="35" t="s">
        <v>399</v>
      </c>
      <c r="E152" s="36" t="s">
        <v>418</v>
      </c>
      <c r="F152" s="37" t="s">
        <v>42</v>
      </c>
      <c r="G152" s="56" t="s">
        <v>42</v>
      </c>
      <c r="H152" s="57" t="s">
        <v>153</v>
      </c>
      <c r="I152" s="37"/>
      <c r="J152" s="38"/>
      <c r="K152" s="35"/>
      <c r="L152" s="37"/>
      <c r="M152" s="57" t="s">
        <v>154</v>
      </c>
      <c r="N152" s="35"/>
    </row>
    <row r="153" spans="2:14" ht="54" customHeight="1" x14ac:dyDescent="0.15">
      <c r="B153" s="34" t="s">
        <v>419</v>
      </c>
      <c r="C153" s="35" t="s">
        <v>398</v>
      </c>
      <c r="D153" s="35" t="s">
        <v>399</v>
      </c>
      <c r="E153" s="36" t="s">
        <v>420</v>
      </c>
      <c r="F153" s="37" t="s">
        <v>51</v>
      </c>
      <c r="G153" s="56" t="s">
        <v>51</v>
      </c>
      <c r="H153" s="57" t="s">
        <v>61</v>
      </c>
      <c r="I153" s="37"/>
      <c r="J153" s="38"/>
      <c r="K153" s="35"/>
      <c r="L153" s="37"/>
      <c r="M153" s="57" t="s">
        <v>62</v>
      </c>
      <c r="N153" s="35"/>
    </row>
    <row r="154" spans="2:14" ht="54" customHeight="1" x14ac:dyDescent="0.15">
      <c r="B154" s="34" t="s">
        <v>421</v>
      </c>
      <c r="C154" s="35" t="s">
        <v>398</v>
      </c>
      <c r="D154" s="35" t="s">
        <v>422</v>
      </c>
      <c r="E154" s="36" t="s">
        <v>423</v>
      </c>
      <c r="F154" s="37" t="s">
        <v>42</v>
      </c>
      <c r="G154" s="56" t="s">
        <v>42</v>
      </c>
      <c r="H154" s="57" t="s">
        <v>61</v>
      </c>
      <c r="I154" s="37"/>
      <c r="J154" s="39"/>
      <c r="K154" s="35"/>
      <c r="L154" s="37"/>
      <c r="M154" s="57" t="s">
        <v>62</v>
      </c>
      <c r="N154" s="35"/>
    </row>
    <row r="155" spans="2:14" ht="54" customHeight="1" x14ac:dyDescent="0.15">
      <c r="B155" s="34" t="s">
        <v>424</v>
      </c>
      <c r="C155" s="35" t="s">
        <v>398</v>
      </c>
      <c r="D155" s="35" t="s">
        <v>422</v>
      </c>
      <c r="E155" s="36" t="s">
        <v>425</v>
      </c>
      <c r="F155" s="37" t="s">
        <v>51</v>
      </c>
      <c r="G155" s="56" t="s">
        <v>51</v>
      </c>
      <c r="H155" s="57" t="s">
        <v>153</v>
      </c>
      <c r="I155" s="37"/>
      <c r="J155" s="39"/>
      <c r="K155" s="35"/>
      <c r="L155" s="37"/>
      <c r="M155" s="57" t="s">
        <v>154</v>
      </c>
      <c r="N155" s="35"/>
    </row>
    <row r="156" spans="2:14" ht="54" customHeight="1" x14ac:dyDescent="0.15">
      <c r="B156" s="34" t="s">
        <v>426</v>
      </c>
      <c r="C156" s="35" t="s">
        <v>398</v>
      </c>
      <c r="D156" s="35" t="s">
        <v>422</v>
      </c>
      <c r="E156" s="36" t="s">
        <v>427</v>
      </c>
      <c r="F156" s="37" t="s">
        <v>42</v>
      </c>
      <c r="G156" s="56" t="s">
        <v>42</v>
      </c>
      <c r="H156" s="57" t="s">
        <v>61</v>
      </c>
      <c r="I156" s="37"/>
      <c r="J156" s="39"/>
      <c r="K156" s="35"/>
      <c r="L156" s="37"/>
      <c r="M156" s="57" t="s">
        <v>62</v>
      </c>
      <c r="N156" s="35"/>
    </row>
    <row r="157" spans="2:14" ht="54" customHeight="1" x14ac:dyDescent="0.15">
      <c r="B157" s="34" t="s">
        <v>428</v>
      </c>
      <c r="C157" s="35" t="s">
        <v>398</v>
      </c>
      <c r="D157" s="35" t="s">
        <v>422</v>
      </c>
      <c r="E157" s="36" t="s">
        <v>429</v>
      </c>
      <c r="F157" s="37" t="s">
        <v>42</v>
      </c>
      <c r="G157" s="56" t="s">
        <v>42</v>
      </c>
      <c r="H157" s="57" t="s">
        <v>153</v>
      </c>
      <c r="I157" s="37"/>
      <c r="J157" s="38"/>
      <c r="K157" s="35"/>
      <c r="L157" s="37"/>
      <c r="M157" s="57" t="s">
        <v>154</v>
      </c>
      <c r="N157" s="35"/>
    </row>
    <row r="158" spans="2:14" ht="54" customHeight="1" x14ac:dyDescent="0.15">
      <c r="B158" s="34" t="s">
        <v>430</v>
      </c>
      <c r="C158" s="35" t="s">
        <v>398</v>
      </c>
      <c r="D158" s="35" t="s">
        <v>422</v>
      </c>
      <c r="E158" s="36" t="s">
        <v>431</v>
      </c>
      <c r="F158" s="37" t="s">
        <v>42</v>
      </c>
      <c r="G158" s="56" t="s">
        <v>42</v>
      </c>
      <c r="H158" s="57" t="s">
        <v>43</v>
      </c>
      <c r="I158" s="37"/>
      <c r="J158" s="39"/>
      <c r="K158" s="35"/>
      <c r="L158" s="37"/>
      <c r="M158" s="57" t="s">
        <v>44</v>
      </c>
      <c r="N158" s="35"/>
    </row>
    <row r="159" spans="2:14" ht="54" customHeight="1" x14ac:dyDescent="0.15">
      <c r="B159" s="34" t="s">
        <v>432</v>
      </c>
      <c r="C159" s="35" t="s">
        <v>398</v>
      </c>
      <c r="D159" s="35" t="s">
        <v>422</v>
      </c>
      <c r="E159" s="36" t="s">
        <v>433</v>
      </c>
      <c r="F159" s="37" t="s">
        <v>42</v>
      </c>
      <c r="G159" s="56" t="s">
        <v>42</v>
      </c>
      <c r="H159" s="57" t="s">
        <v>153</v>
      </c>
      <c r="I159" s="37"/>
      <c r="J159" s="38"/>
      <c r="K159" s="35"/>
      <c r="L159" s="37"/>
      <c r="M159" s="57" t="s">
        <v>154</v>
      </c>
      <c r="N159" s="35"/>
    </row>
    <row r="160" spans="2:14" ht="28" customHeight="1" x14ac:dyDescent="0.15">
      <c r="B160" s="34" t="s">
        <v>434</v>
      </c>
      <c r="C160" s="35" t="s">
        <v>398</v>
      </c>
      <c r="D160" s="35" t="s">
        <v>422</v>
      </c>
      <c r="E160" s="36" t="s">
        <v>435</v>
      </c>
      <c r="F160" s="37" t="s">
        <v>42</v>
      </c>
      <c r="G160" s="56" t="s">
        <v>42</v>
      </c>
      <c r="H160" s="57" t="s">
        <v>153</v>
      </c>
      <c r="I160" s="37"/>
      <c r="J160" s="38"/>
      <c r="K160" s="35"/>
      <c r="L160" s="37"/>
      <c r="M160" s="57" t="s">
        <v>154</v>
      </c>
      <c r="N160" s="35"/>
    </row>
    <row r="161" spans="2:14" ht="47.5" customHeight="1" x14ac:dyDescent="0.15">
      <c r="B161" s="34" t="s">
        <v>436</v>
      </c>
      <c r="C161" s="35" t="s">
        <v>398</v>
      </c>
      <c r="D161" s="35" t="s">
        <v>422</v>
      </c>
      <c r="E161" s="36" t="s">
        <v>437</v>
      </c>
      <c r="F161" s="37" t="s">
        <v>42</v>
      </c>
      <c r="G161" s="56" t="s">
        <v>42</v>
      </c>
      <c r="H161" s="57" t="s">
        <v>153</v>
      </c>
      <c r="I161" s="37"/>
      <c r="J161" s="38"/>
      <c r="K161" s="35"/>
      <c r="L161" s="37"/>
      <c r="M161" s="57" t="s">
        <v>154</v>
      </c>
      <c r="N161" s="35"/>
    </row>
    <row r="162" spans="2:14" ht="54" customHeight="1" x14ac:dyDescent="0.15">
      <c r="B162" s="34" t="s">
        <v>438</v>
      </c>
      <c r="C162" s="35" t="s">
        <v>398</v>
      </c>
      <c r="D162" s="35" t="s">
        <v>422</v>
      </c>
      <c r="E162" s="36" t="s">
        <v>439</v>
      </c>
      <c r="F162" s="37" t="s">
        <v>42</v>
      </c>
      <c r="G162" s="56" t="s">
        <v>42</v>
      </c>
      <c r="H162" s="57" t="s">
        <v>153</v>
      </c>
      <c r="I162" s="37"/>
      <c r="J162" s="40"/>
      <c r="K162" s="35"/>
      <c r="L162" s="37"/>
      <c r="M162" s="57" t="s">
        <v>154</v>
      </c>
      <c r="N162" s="35"/>
    </row>
    <row r="163" spans="2:14" ht="54" customHeight="1" x14ac:dyDescent="0.15">
      <c r="B163" s="34" t="s">
        <v>440</v>
      </c>
      <c r="C163" s="35" t="s">
        <v>398</v>
      </c>
      <c r="D163" s="35" t="s">
        <v>422</v>
      </c>
      <c r="E163" s="36" t="s">
        <v>441</v>
      </c>
      <c r="F163" s="37" t="s">
        <v>51</v>
      </c>
      <c r="G163" s="56" t="s">
        <v>51</v>
      </c>
      <c r="H163" s="57" t="s">
        <v>101</v>
      </c>
      <c r="I163" s="37"/>
      <c r="J163" s="39"/>
      <c r="K163" s="35"/>
      <c r="L163" s="37"/>
      <c r="M163" s="57" t="s">
        <v>102</v>
      </c>
      <c r="N163" s="35"/>
    </row>
    <row r="164" spans="2:14" ht="54" customHeight="1" x14ac:dyDescent="0.15">
      <c r="B164" s="34" t="s">
        <v>442</v>
      </c>
      <c r="C164" s="35" t="s">
        <v>398</v>
      </c>
      <c r="D164" s="35" t="s">
        <v>422</v>
      </c>
      <c r="E164" s="36" t="s">
        <v>443</v>
      </c>
      <c r="F164" s="37" t="s">
        <v>42</v>
      </c>
      <c r="G164" s="56" t="s">
        <v>42</v>
      </c>
      <c r="H164" s="57" t="s">
        <v>101</v>
      </c>
      <c r="I164" s="37"/>
      <c r="J164" s="39"/>
      <c r="K164" s="35"/>
      <c r="L164" s="37"/>
      <c r="M164" s="57" t="s">
        <v>102</v>
      </c>
      <c r="N164" s="35"/>
    </row>
    <row r="165" spans="2:14" ht="54" customHeight="1" x14ac:dyDescent="0.15">
      <c r="B165" s="34" t="s">
        <v>444</v>
      </c>
      <c r="C165" s="35" t="s">
        <v>398</v>
      </c>
      <c r="D165" s="35" t="s">
        <v>445</v>
      </c>
      <c r="E165" s="36" t="s">
        <v>446</v>
      </c>
      <c r="F165" s="37" t="s">
        <v>42</v>
      </c>
      <c r="G165" s="56" t="s">
        <v>42</v>
      </c>
      <c r="H165" s="57" t="s">
        <v>153</v>
      </c>
      <c r="I165" s="37"/>
      <c r="J165" s="39"/>
      <c r="K165" s="35"/>
      <c r="L165" s="37"/>
      <c r="M165" s="57" t="s">
        <v>154</v>
      </c>
      <c r="N165" s="35"/>
    </row>
    <row r="166" spans="2:14" ht="54" customHeight="1" x14ac:dyDescent="0.15">
      <c r="B166" s="34" t="s">
        <v>447</v>
      </c>
      <c r="C166" s="35" t="s">
        <v>398</v>
      </c>
      <c r="D166" s="35" t="s">
        <v>445</v>
      </c>
      <c r="E166" s="36" t="s">
        <v>448</v>
      </c>
      <c r="F166" s="37" t="s">
        <v>42</v>
      </c>
      <c r="G166" s="56" t="s">
        <v>42</v>
      </c>
      <c r="H166" s="57" t="s">
        <v>153</v>
      </c>
      <c r="I166" s="37"/>
      <c r="J166" s="39"/>
      <c r="K166" s="35"/>
      <c r="L166" s="37"/>
      <c r="M166" s="57" t="s">
        <v>154</v>
      </c>
      <c r="N166" s="35"/>
    </row>
    <row r="167" spans="2:14" ht="54" customHeight="1" x14ac:dyDescent="0.15">
      <c r="B167" s="34" t="s">
        <v>449</v>
      </c>
      <c r="C167" s="35" t="s">
        <v>398</v>
      </c>
      <c r="D167" s="35" t="s">
        <v>445</v>
      </c>
      <c r="E167" s="36" t="s">
        <v>450</v>
      </c>
      <c r="F167" s="37" t="s">
        <v>42</v>
      </c>
      <c r="G167" s="56" t="s">
        <v>42</v>
      </c>
      <c r="H167" s="57" t="s">
        <v>153</v>
      </c>
      <c r="I167" s="37"/>
      <c r="J167" s="40"/>
      <c r="K167" s="35"/>
      <c r="L167" s="37"/>
      <c r="M167" s="57" t="s">
        <v>154</v>
      </c>
      <c r="N167" s="35"/>
    </row>
    <row r="168" spans="2:14" ht="54" customHeight="1" x14ac:dyDescent="0.15">
      <c r="B168" s="34" t="s">
        <v>451</v>
      </c>
      <c r="C168" s="35" t="s">
        <v>398</v>
      </c>
      <c r="D168" s="35" t="s">
        <v>445</v>
      </c>
      <c r="E168" s="36" t="s">
        <v>452</v>
      </c>
      <c r="F168" s="37" t="s">
        <v>42</v>
      </c>
      <c r="G168" s="56" t="s">
        <v>42</v>
      </c>
      <c r="H168" s="57" t="s">
        <v>153</v>
      </c>
      <c r="I168" s="37"/>
      <c r="J168" s="41"/>
      <c r="K168" s="35"/>
      <c r="L168" s="37"/>
      <c r="M168" s="57" t="s">
        <v>154</v>
      </c>
      <c r="N168" s="35"/>
    </row>
    <row r="169" spans="2:14" ht="54" customHeight="1" x14ac:dyDescent="0.15">
      <c r="B169" s="34" t="s">
        <v>453</v>
      </c>
      <c r="C169" s="35" t="s">
        <v>398</v>
      </c>
      <c r="D169" s="35" t="s">
        <v>445</v>
      </c>
      <c r="E169" s="36" t="s">
        <v>454</v>
      </c>
      <c r="F169" s="37" t="s">
        <v>51</v>
      </c>
      <c r="G169" s="56" t="s">
        <v>51</v>
      </c>
      <c r="H169" s="57" t="s">
        <v>153</v>
      </c>
      <c r="I169" s="37"/>
      <c r="J169" s="41"/>
      <c r="K169" s="35"/>
      <c r="L169" s="37"/>
      <c r="M169" s="57" t="s">
        <v>154</v>
      </c>
      <c r="N169" s="35"/>
    </row>
    <row r="170" spans="2:14" ht="85.5" customHeight="1" x14ac:dyDescent="0.15">
      <c r="B170" s="34" t="s">
        <v>455</v>
      </c>
      <c r="C170" s="35" t="s">
        <v>398</v>
      </c>
      <c r="D170" s="35" t="s">
        <v>445</v>
      </c>
      <c r="E170" s="36" t="s">
        <v>456</v>
      </c>
      <c r="F170" s="37" t="s">
        <v>51</v>
      </c>
      <c r="G170" s="56" t="s">
        <v>51</v>
      </c>
      <c r="H170" s="57" t="s">
        <v>153</v>
      </c>
      <c r="I170" s="37"/>
      <c r="J170" s="41"/>
      <c r="K170" s="35"/>
      <c r="L170" s="37"/>
      <c r="M170" s="57" t="s">
        <v>154</v>
      </c>
      <c r="N170" s="35"/>
    </row>
    <row r="171" spans="2:14" ht="54" customHeight="1" x14ac:dyDescent="0.15">
      <c r="B171" s="34" t="s">
        <v>457</v>
      </c>
      <c r="C171" s="35" t="s">
        <v>398</v>
      </c>
      <c r="D171" s="35" t="s">
        <v>445</v>
      </c>
      <c r="E171" s="36" t="s">
        <v>458</v>
      </c>
      <c r="F171" s="37" t="s">
        <v>51</v>
      </c>
      <c r="G171" s="56" t="s">
        <v>51</v>
      </c>
      <c r="H171" s="57" t="s">
        <v>153</v>
      </c>
      <c r="I171" s="37"/>
      <c r="J171" s="38"/>
      <c r="K171" s="35"/>
      <c r="L171" s="37"/>
      <c r="M171" s="57" t="s">
        <v>154</v>
      </c>
      <c r="N171" s="35"/>
    </row>
    <row r="172" spans="2:14" ht="54" customHeight="1" x14ac:dyDescent="0.15">
      <c r="B172" s="34" t="s">
        <v>459</v>
      </c>
      <c r="C172" s="35" t="s">
        <v>398</v>
      </c>
      <c r="D172" s="35" t="s">
        <v>445</v>
      </c>
      <c r="E172" s="36" t="s">
        <v>460</v>
      </c>
      <c r="F172" s="37" t="s">
        <v>42</v>
      </c>
      <c r="G172" s="56" t="s">
        <v>42</v>
      </c>
      <c r="H172" s="57" t="s">
        <v>61</v>
      </c>
      <c r="I172" s="37"/>
      <c r="J172" s="38"/>
      <c r="K172" s="35"/>
      <c r="L172" s="37"/>
      <c r="M172" s="57" t="s">
        <v>62</v>
      </c>
      <c r="N172" s="35"/>
    </row>
    <row r="173" spans="2:14" ht="54" customHeight="1" x14ac:dyDescent="0.15">
      <c r="B173" s="34" t="s">
        <v>461</v>
      </c>
      <c r="C173" s="35" t="s">
        <v>398</v>
      </c>
      <c r="D173" s="35" t="s">
        <v>462</v>
      </c>
      <c r="E173" s="36" t="s">
        <v>463</v>
      </c>
      <c r="F173" s="37" t="s">
        <v>42</v>
      </c>
      <c r="G173" s="56" t="s">
        <v>42</v>
      </c>
      <c r="H173" s="57" t="s">
        <v>153</v>
      </c>
      <c r="I173" s="37"/>
      <c r="J173" s="36"/>
      <c r="K173" s="35"/>
      <c r="L173" s="37"/>
      <c r="M173" s="57" t="s">
        <v>154</v>
      </c>
      <c r="N173" s="35"/>
    </row>
    <row r="174" spans="2:14" ht="54" customHeight="1" x14ac:dyDescent="0.15">
      <c r="B174" s="34" t="s">
        <v>464</v>
      </c>
      <c r="C174" s="35" t="s">
        <v>398</v>
      </c>
      <c r="D174" s="35" t="s">
        <v>462</v>
      </c>
      <c r="E174" s="36" t="s">
        <v>465</v>
      </c>
      <c r="F174" s="37" t="s">
        <v>42</v>
      </c>
      <c r="G174" s="56" t="s">
        <v>42</v>
      </c>
      <c r="H174" s="57" t="s">
        <v>153</v>
      </c>
      <c r="I174" s="37"/>
      <c r="J174" s="36"/>
      <c r="K174" s="35"/>
      <c r="L174" s="37"/>
      <c r="M174" s="57" t="s">
        <v>154</v>
      </c>
      <c r="N174" s="35"/>
    </row>
    <row r="175" spans="2:14" ht="54" customHeight="1" x14ac:dyDescent="0.15">
      <c r="B175" s="34" t="s">
        <v>466</v>
      </c>
      <c r="C175" s="35" t="s">
        <v>398</v>
      </c>
      <c r="D175" s="35" t="s">
        <v>462</v>
      </c>
      <c r="E175" s="36" t="s">
        <v>467</v>
      </c>
      <c r="F175" s="37" t="s">
        <v>42</v>
      </c>
      <c r="G175" s="56" t="s">
        <v>42</v>
      </c>
      <c r="H175" s="57" t="s">
        <v>61</v>
      </c>
      <c r="I175" s="37"/>
      <c r="J175" s="38"/>
      <c r="K175" s="35"/>
      <c r="L175" s="37"/>
      <c r="M175" s="57" t="s">
        <v>62</v>
      </c>
      <c r="N175" s="35"/>
    </row>
    <row r="176" spans="2:14" ht="54" customHeight="1" x14ac:dyDescent="0.15">
      <c r="B176" s="34" t="s">
        <v>468</v>
      </c>
      <c r="C176" s="35" t="s">
        <v>398</v>
      </c>
      <c r="D176" s="35" t="s">
        <v>462</v>
      </c>
      <c r="E176" s="36" t="s">
        <v>469</v>
      </c>
      <c r="F176" s="37" t="s">
        <v>42</v>
      </c>
      <c r="G176" s="56" t="s">
        <v>42</v>
      </c>
      <c r="H176" s="57" t="s">
        <v>153</v>
      </c>
      <c r="I176" s="37"/>
      <c r="J176" s="41"/>
      <c r="K176" s="35"/>
      <c r="L176" s="37"/>
      <c r="M176" s="57" t="s">
        <v>154</v>
      </c>
      <c r="N176" s="35"/>
    </row>
    <row r="177" spans="2:14" ht="54" customHeight="1" x14ac:dyDescent="0.15">
      <c r="B177" s="34" t="s">
        <v>470</v>
      </c>
      <c r="C177" s="35" t="s">
        <v>398</v>
      </c>
      <c r="D177" s="35" t="s">
        <v>462</v>
      </c>
      <c r="E177" s="36" t="s">
        <v>471</v>
      </c>
      <c r="F177" s="37" t="s">
        <v>51</v>
      </c>
      <c r="G177" s="56" t="s">
        <v>51</v>
      </c>
      <c r="H177" s="57" t="s">
        <v>153</v>
      </c>
      <c r="I177" s="37"/>
      <c r="J177" s="41"/>
      <c r="K177" s="35"/>
      <c r="L177" s="37"/>
      <c r="M177" s="57" t="s">
        <v>154</v>
      </c>
      <c r="N177" s="35"/>
    </row>
    <row r="178" spans="2:14" ht="54" customHeight="1" x14ac:dyDescent="0.15">
      <c r="B178" s="34" t="s">
        <v>472</v>
      </c>
      <c r="C178" s="35" t="s">
        <v>398</v>
      </c>
      <c r="D178" s="35" t="s">
        <v>462</v>
      </c>
      <c r="E178" s="36" t="s">
        <v>473</v>
      </c>
      <c r="F178" s="37" t="s">
        <v>42</v>
      </c>
      <c r="G178" s="56" t="s">
        <v>42</v>
      </c>
      <c r="H178" s="57" t="s">
        <v>153</v>
      </c>
      <c r="I178" s="37"/>
      <c r="J178" s="41"/>
      <c r="K178" s="35"/>
      <c r="L178" s="37"/>
      <c r="M178" s="57" t="s">
        <v>154</v>
      </c>
      <c r="N178" s="35"/>
    </row>
    <row r="179" spans="2:14" ht="54" customHeight="1" x14ac:dyDescent="0.15">
      <c r="B179" s="34" t="s">
        <v>474</v>
      </c>
      <c r="C179" s="35" t="s">
        <v>398</v>
      </c>
      <c r="D179" s="35" t="s">
        <v>462</v>
      </c>
      <c r="E179" s="36" t="s">
        <v>475</v>
      </c>
      <c r="F179" s="37" t="s">
        <v>42</v>
      </c>
      <c r="G179" s="56" t="s">
        <v>42</v>
      </c>
      <c r="H179" s="57" t="s">
        <v>153</v>
      </c>
      <c r="I179" s="37"/>
      <c r="J179" s="38"/>
      <c r="K179" s="35"/>
      <c r="L179" s="37"/>
      <c r="M179" s="57" t="s">
        <v>154</v>
      </c>
      <c r="N179" s="35"/>
    </row>
    <row r="180" spans="2:14" ht="54" customHeight="1" x14ac:dyDescent="0.15">
      <c r="B180" s="34" t="s">
        <v>476</v>
      </c>
      <c r="C180" s="35" t="s">
        <v>398</v>
      </c>
      <c r="D180" s="35" t="s">
        <v>462</v>
      </c>
      <c r="E180" s="36" t="s">
        <v>477</v>
      </c>
      <c r="F180" s="37" t="s">
        <v>42</v>
      </c>
      <c r="G180" s="56" t="s">
        <v>42</v>
      </c>
      <c r="H180" s="57" t="s">
        <v>153</v>
      </c>
      <c r="I180" s="37"/>
      <c r="J180" s="38"/>
      <c r="K180" s="35"/>
      <c r="L180" s="37"/>
      <c r="M180" s="57" t="s">
        <v>154</v>
      </c>
      <c r="N180" s="35"/>
    </row>
    <row r="181" spans="2:14" ht="54" customHeight="1" x14ac:dyDescent="0.15">
      <c r="B181" s="34" t="s">
        <v>478</v>
      </c>
      <c r="C181" s="35" t="s">
        <v>398</v>
      </c>
      <c r="D181" s="35" t="s">
        <v>479</v>
      </c>
      <c r="E181" s="36" t="s">
        <v>480</v>
      </c>
      <c r="F181" s="37" t="s">
        <v>42</v>
      </c>
      <c r="G181" s="56" t="s">
        <v>42</v>
      </c>
      <c r="H181" s="57" t="s">
        <v>61</v>
      </c>
      <c r="I181" s="37"/>
      <c r="J181" s="41"/>
      <c r="K181" s="35"/>
      <c r="L181" s="37"/>
      <c r="M181" s="57" t="s">
        <v>62</v>
      </c>
      <c r="N181" s="35"/>
    </row>
    <row r="182" spans="2:14" ht="54" customHeight="1" x14ac:dyDescent="0.15">
      <c r="B182" s="34" t="s">
        <v>481</v>
      </c>
      <c r="C182" s="35" t="s">
        <v>398</v>
      </c>
      <c r="D182" s="35" t="s">
        <v>479</v>
      </c>
      <c r="E182" s="36" t="s">
        <v>482</v>
      </c>
      <c r="F182" s="37" t="s">
        <v>42</v>
      </c>
      <c r="G182" s="56" t="s">
        <v>51</v>
      </c>
      <c r="H182" s="57" t="s">
        <v>52</v>
      </c>
      <c r="I182" s="37"/>
      <c r="J182" s="39"/>
      <c r="K182" s="35"/>
      <c r="L182" s="37"/>
      <c r="M182" s="57" t="s">
        <v>483</v>
      </c>
      <c r="N182" s="35"/>
    </row>
    <row r="183" spans="2:14" ht="54" customHeight="1" x14ac:dyDescent="0.15">
      <c r="B183" s="34" t="s">
        <v>484</v>
      </c>
      <c r="C183" s="35" t="s">
        <v>398</v>
      </c>
      <c r="D183" s="35" t="s">
        <v>479</v>
      </c>
      <c r="E183" s="36" t="s">
        <v>485</v>
      </c>
      <c r="F183" s="37" t="s">
        <v>42</v>
      </c>
      <c r="G183" s="56" t="s">
        <v>42</v>
      </c>
      <c r="H183" s="57" t="s">
        <v>61</v>
      </c>
      <c r="I183" s="37"/>
      <c r="J183" s="41"/>
      <c r="K183" s="35"/>
      <c r="L183" s="37"/>
      <c r="M183" s="57" t="s">
        <v>62</v>
      </c>
      <c r="N183" s="35"/>
    </row>
    <row r="184" spans="2:14" ht="54" customHeight="1" x14ac:dyDescent="0.15">
      <c r="B184" s="34" t="s">
        <v>486</v>
      </c>
      <c r="C184" s="35" t="s">
        <v>398</v>
      </c>
      <c r="D184" s="35" t="s">
        <v>479</v>
      </c>
      <c r="E184" s="36" t="s">
        <v>487</v>
      </c>
      <c r="F184" s="37" t="s">
        <v>42</v>
      </c>
      <c r="G184" s="56" t="s">
        <v>488</v>
      </c>
      <c r="H184" s="57" t="s">
        <v>52</v>
      </c>
      <c r="I184" s="37"/>
      <c r="J184" s="41"/>
      <c r="K184" s="35"/>
      <c r="L184" s="37"/>
      <c r="M184" s="57" t="s">
        <v>489</v>
      </c>
      <c r="N184" s="35"/>
    </row>
    <row r="185" spans="2:14" ht="54" customHeight="1" x14ac:dyDescent="0.15">
      <c r="B185" s="34" t="s">
        <v>490</v>
      </c>
      <c r="C185" s="35" t="s">
        <v>398</v>
      </c>
      <c r="D185" s="35" t="s">
        <v>479</v>
      </c>
      <c r="E185" s="36" t="s">
        <v>491</v>
      </c>
      <c r="F185" s="37" t="s">
        <v>42</v>
      </c>
      <c r="G185" s="56" t="s">
        <v>42</v>
      </c>
      <c r="H185" s="57" t="s">
        <v>43</v>
      </c>
      <c r="I185" s="37"/>
      <c r="J185" s="39"/>
      <c r="K185" s="35"/>
      <c r="L185" s="37"/>
      <c r="M185" s="57" t="s">
        <v>44</v>
      </c>
      <c r="N185" s="35"/>
    </row>
    <row r="186" spans="2:14" ht="54" customHeight="1" x14ac:dyDescent="0.15">
      <c r="B186" s="34" t="s">
        <v>492</v>
      </c>
      <c r="C186" s="35" t="s">
        <v>398</v>
      </c>
      <c r="D186" s="35" t="s">
        <v>479</v>
      </c>
      <c r="E186" s="36" t="s">
        <v>493</v>
      </c>
      <c r="F186" s="37" t="s">
        <v>51</v>
      </c>
      <c r="G186" s="56" t="s">
        <v>51</v>
      </c>
      <c r="H186" s="57" t="s">
        <v>61</v>
      </c>
      <c r="I186" s="37"/>
      <c r="J186" s="39"/>
      <c r="K186" s="35"/>
      <c r="L186" s="37"/>
      <c r="M186" s="57" t="s">
        <v>62</v>
      </c>
      <c r="N186" s="35"/>
    </row>
    <row r="187" spans="2:14" ht="54" customHeight="1" x14ac:dyDescent="0.15">
      <c r="B187" s="34" t="s">
        <v>494</v>
      </c>
      <c r="C187" s="35" t="s">
        <v>398</v>
      </c>
      <c r="D187" s="35" t="s">
        <v>479</v>
      </c>
      <c r="E187" s="36" t="s">
        <v>495</v>
      </c>
      <c r="F187" s="37" t="s">
        <v>42</v>
      </c>
      <c r="G187" s="56" t="s">
        <v>42</v>
      </c>
      <c r="H187" s="57" t="s">
        <v>101</v>
      </c>
      <c r="I187" s="37"/>
      <c r="J187" s="38"/>
      <c r="K187" s="35"/>
      <c r="L187" s="37"/>
      <c r="M187" s="57" t="s">
        <v>102</v>
      </c>
      <c r="N187" s="35"/>
    </row>
    <row r="188" spans="2:14" ht="54" customHeight="1" x14ac:dyDescent="0.15">
      <c r="B188" s="34" t="s">
        <v>496</v>
      </c>
      <c r="C188" s="35" t="s">
        <v>398</v>
      </c>
      <c r="D188" s="35" t="s">
        <v>479</v>
      </c>
      <c r="E188" s="36" t="s">
        <v>497</v>
      </c>
      <c r="F188" s="37" t="s">
        <v>42</v>
      </c>
      <c r="G188" s="56" t="s">
        <v>498</v>
      </c>
      <c r="H188" s="57" t="s">
        <v>52</v>
      </c>
      <c r="I188" s="37"/>
      <c r="J188" s="41"/>
      <c r="K188" s="35"/>
      <c r="L188" s="37"/>
      <c r="M188" s="57" t="s">
        <v>499</v>
      </c>
      <c r="N188" s="35"/>
    </row>
    <row r="189" spans="2:14" ht="54" customHeight="1" x14ac:dyDescent="0.15">
      <c r="B189" s="34" t="s">
        <v>500</v>
      </c>
      <c r="C189" s="35" t="s">
        <v>398</v>
      </c>
      <c r="D189" s="35" t="s">
        <v>479</v>
      </c>
      <c r="E189" s="36" t="s">
        <v>501</v>
      </c>
      <c r="F189" s="37" t="s">
        <v>114</v>
      </c>
      <c r="G189" s="56" t="s">
        <v>114</v>
      </c>
      <c r="H189" s="57" t="s">
        <v>153</v>
      </c>
      <c r="I189" s="37"/>
      <c r="J189" s="41"/>
      <c r="K189" s="35"/>
      <c r="L189" s="37"/>
      <c r="M189" s="57" t="s">
        <v>154</v>
      </c>
      <c r="N189" s="35"/>
    </row>
  </sheetData>
  <autoFilter ref="A9:V189" xr:uid="{00000000-0009-0000-0000-000001000000}"/>
  <mergeCells count="1">
    <mergeCell ref="B7:K7"/>
  </mergeCells>
  <hyperlinks>
    <hyperlink ref="B2" location="Index!A1" display="ARC v2 Architecture Assessment Tracker" xr:uid="{00000000-0004-0000-0100-000000000000}"/>
  </hyperlink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</sheetPr>
  <dimension ref="A1:S37"/>
  <sheetViews>
    <sheetView showGridLines="0" showRowColHeaders="0" zoomScaleNormal="100" workbookViewId="0">
      <selection activeCell="C34" sqref="C34"/>
    </sheetView>
  </sheetViews>
  <sheetFormatPr baseColWidth="10" defaultColWidth="8.6640625" defaultRowHeight="13" x14ac:dyDescent="0.15"/>
  <cols>
    <col min="1" max="1" width="2.83203125" customWidth="1"/>
    <col min="2" max="2" width="34" customWidth="1"/>
    <col min="3" max="6" width="22" customWidth="1"/>
    <col min="7" max="7" width="10" customWidth="1"/>
  </cols>
  <sheetData>
    <row r="1" spans="1:19" ht="5.25" customHeight="1" x14ac:dyDescent="0.15"/>
    <row r="2" spans="1:19" x14ac:dyDescent="0.15">
      <c r="B2" s="29" t="s">
        <v>502</v>
      </c>
    </row>
    <row r="3" spans="1:19" x14ac:dyDescent="0.15">
      <c r="B3" s="30" t="s">
        <v>503</v>
      </c>
    </row>
    <row r="4" spans="1:19" x14ac:dyDescent="0.15">
      <c r="B4" s="30" t="s">
        <v>6</v>
      </c>
      <c r="F4" s="30" t="s">
        <v>1</v>
      </c>
    </row>
    <row r="5" spans="1:19" ht="6" customHeight="1" x14ac:dyDescent="0.1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16" customHeight="1" x14ac:dyDescent="0.15">
      <c r="B7" s="58" t="s">
        <v>15</v>
      </c>
      <c r="C7" s="59"/>
      <c r="D7" s="59"/>
      <c r="E7" s="59"/>
      <c r="F7" s="59"/>
      <c r="G7" s="59"/>
      <c r="H7" s="64"/>
    </row>
    <row r="9" spans="1:19" ht="14" customHeight="1" x14ac:dyDescent="0.15">
      <c r="B9" s="42" t="s">
        <v>504</v>
      </c>
      <c r="C9" s="1" t="s">
        <v>39</v>
      </c>
      <c r="D9" s="1" t="s">
        <v>216</v>
      </c>
      <c r="E9" s="1" t="s">
        <v>295</v>
      </c>
      <c r="F9" s="1" t="s">
        <v>398</v>
      </c>
      <c r="G9" s="1" t="s">
        <v>505</v>
      </c>
    </row>
    <row r="10" spans="1:19" x14ac:dyDescent="0.15">
      <c r="B10" s="43" t="s">
        <v>506</v>
      </c>
      <c r="C10" s="44">
        <f>COUNTIFS(Tracker!$B$10:$B$189,"TA-*",Tracker!$K$10:$K$189,$B10)</f>
        <v>0</v>
      </c>
      <c r="D10" s="44">
        <f>COUNTIFS(Tracker!$B$10:$B$189,"AD-*",Tracker!$K$10:$K$189,$B10)</f>
        <v>0</v>
      </c>
      <c r="E10" s="44">
        <f>COUNTIFS(Tracker!$B$10:$B$189,"CQ-*",Tracker!$K$10:$K$189,$B10)</f>
        <v>0</v>
      </c>
      <c r="F10" s="44">
        <f>COUNTIFS(Tracker!$B$10:$B$189,"SD-*",Tracker!$K$10:$K$189,$B10)</f>
        <v>0</v>
      </c>
      <c r="G10" s="2">
        <f t="shared" ref="G10:G17" si="0">SUM(C10:F10)</f>
        <v>0</v>
      </c>
    </row>
    <row r="11" spans="1:19" x14ac:dyDescent="0.15">
      <c r="B11" s="45" t="s">
        <v>507</v>
      </c>
      <c r="C11" s="44">
        <f>COUNTIFS(Tracker!$B$10:$B$189,"TA-*",Tracker!$K$10:$K$189,$B11)</f>
        <v>0</v>
      </c>
      <c r="D11" s="44">
        <f>COUNTIFS(Tracker!$B$10:$B$189,"AD-*",Tracker!$K$10:$K$189,$B11)</f>
        <v>0</v>
      </c>
      <c r="E11" s="44">
        <f>COUNTIFS(Tracker!$B$10:$B$189,"CQ-*",Tracker!$K$10:$K$189,$B11)</f>
        <v>0</v>
      </c>
      <c r="F11" s="44">
        <f>COUNTIFS(Tracker!$B$10:$B$189,"SD-*",Tracker!$K$10:$K$189,$B11)</f>
        <v>0</v>
      </c>
      <c r="G11" s="2">
        <f t="shared" si="0"/>
        <v>0</v>
      </c>
    </row>
    <row r="12" spans="1:19" x14ac:dyDescent="0.15">
      <c r="B12" s="45" t="s">
        <v>508</v>
      </c>
      <c r="C12" s="44">
        <f>COUNTIFS(Tracker!$B$10:$B$189,"TA-*",Tracker!$K$10:$K$189,$B12)</f>
        <v>0</v>
      </c>
      <c r="D12" s="44">
        <f>COUNTIFS(Tracker!$B$10:$B$189,"AD-*",Tracker!$K$10:$K$189,$B12)</f>
        <v>0</v>
      </c>
      <c r="E12" s="44">
        <f>COUNTIFS(Tracker!$B$10:$B$189,"CQ-*",Tracker!$K$10:$K$189,$B12)</f>
        <v>0</v>
      </c>
      <c r="F12" s="44">
        <f>COUNTIFS(Tracker!$B$10:$B$189,"SD-*",Tracker!$K$10:$K$189,$B12)</f>
        <v>0</v>
      </c>
      <c r="G12" s="2">
        <f t="shared" si="0"/>
        <v>0</v>
      </c>
    </row>
    <row r="13" spans="1:19" x14ac:dyDescent="0.15">
      <c r="B13" s="45" t="s">
        <v>509</v>
      </c>
      <c r="C13" s="44">
        <f>COUNTIFS(Tracker!$B$10:$B$189,"TA-*",Tracker!$K$10:$K$189,$B13)</f>
        <v>0</v>
      </c>
      <c r="D13" s="44">
        <f>COUNTIFS(Tracker!$B$10:$B$189,"AD-*",Tracker!$K$10:$K$189,$B13)</f>
        <v>0</v>
      </c>
      <c r="E13" s="44">
        <f>COUNTIFS(Tracker!$B$10:$B$189,"CQ-*",Tracker!$K$10:$K$189,$B13)</f>
        <v>0</v>
      </c>
      <c r="F13" s="44">
        <f>COUNTIFS(Tracker!$B$10:$B$189,"SD-*",Tracker!$K$10:$K$189,$B13)</f>
        <v>0</v>
      </c>
      <c r="G13" s="2">
        <f t="shared" si="0"/>
        <v>0</v>
      </c>
    </row>
    <row r="14" spans="1:19" x14ac:dyDescent="0.15">
      <c r="B14" s="46" t="s">
        <v>510</v>
      </c>
      <c r="C14" s="44">
        <f>COUNTIFS(Tracker!$B$10:$B$189,"TA-*",Tracker!$K$10:$K$189,$B14)</f>
        <v>0</v>
      </c>
      <c r="D14" s="44">
        <f>COUNTIFS(Tracker!$B$10:$B$189,"AD-*",Tracker!$K$10:$K$189,$B14)</f>
        <v>0</v>
      </c>
      <c r="E14" s="44">
        <f>COUNTIFS(Tracker!$B$10:$B$189,"CQ-*",Tracker!$K$10:$K$189,$B14)</f>
        <v>0</v>
      </c>
      <c r="F14" s="44">
        <f>COUNTIFS(Tracker!$B$10:$B$189,"SD-*",Tracker!$K$10:$K$189,$B14)</f>
        <v>0</v>
      </c>
      <c r="G14" s="2">
        <f t="shared" si="0"/>
        <v>0</v>
      </c>
    </row>
    <row r="15" spans="1:19" x14ac:dyDescent="0.15">
      <c r="B15" s="47" t="s">
        <v>511</v>
      </c>
      <c r="C15" s="44">
        <f>COUNTIFS(Tracker!$B$10:$B$189,"TA-*",Tracker!$K$10:$K$189,$B15)</f>
        <v>0</v>
      </c>
      <c r="D15" s="44">
        <f>COUNTIFS(Tracker!$B$10:$B$189,"AD-*",Tracker!$K$10:$K$189,$B15)</f>
        <v>0</v>
      </c>
      <c r="E15" s="44">
        <f>COUNTIFS(Tracker!$B$10:$B$189,"CQ-*",Tracker!$K$10:$K$189,$B15)</f>
        <v>0</v>
      </c>
      <c r="F15" s="44">
        <f>COUNTIFS(Tracker!$B$10:$B$189,"SD-*",Tracker!$K$10:$K$189,$B15)</f>
        <v>0</v>
      </c>
      <c r="G15" s="2">
        <f t="shared" si="0"/>
        <v>0</v>
      </c>
    </row>
    <row r="16" spans="1:19" x14ac:dyDescent="0.15">
      <c r="B16" s="47" t="s">
        <v>512</v>
      </c>
      <c r="C16" s="44">
        <f>COUNTIFS(Tracker!$B$10:$B$189,"TA-*",Tracker!$K$10:$K$189,$B16)</f>
        <v>0</v>
      </c>
      <c r="D16" s="44">
        <f>COUNTIFS(Tracker!$B$10:$B$189,"AD-*",Tracker!$K$10:$K$189,$B16)</f>
        <v>0</v>
      </c>
      <c r="E16" s="44">
        <f>COUNTIFS(Tracker!$B$10:$B$189,"CQ-*",Tracker!$K$10:$K$189,$B16)</f>
        <v>0</v>
      </c>
      <c r="F16" s="44">
        <f>COUNTIFS(Tracker!$B$10:$B$189,"SD-*",Tracker!$K$10:$K$189,$B16)</f>
        <v>0</v>
      </c>
      <c r="G16" s="2">
        <f t="shared" si="0"/>
        <v>0</v>
      </c>
    </row>
    <row r="17" spans="2:7" x14ac:dyDescent="0.15">
      <c r="B17" t="s">
        <v>513</v>
      </c>
      <c r="C17" s="44">
        <f>COUNTIFS(Tracker!$B$10:$B$189,"TA-*",Tracker!$K$10:$K$189,$B17)</f>
        <v>0</v>
      </c>
      <c r="D17" s="44">
        <f>COUNTIFS(Tracker!$B$10:$B$189,"AD-*",Tracker!$K$10:$K$189,$B17)</f>
        <v>0</v>
      </c>
      <c r="E17" s="44">
        <f>COUNTIFS(Tracker!$B$10:$B$189,"CQ-*",Tracker!$K$10:$K$189,$B17)</f>
        <v>0</v>
      </c>
      <c r="F17" s="44">
        <f>COUNTIFS(Tracker!$B$10:$B$189,"SD-*",Tracker!$K$10:$K$189,$B17)</f>
        <v>0</v>
      </c>
      <c r="G17" s="2">
        <f t="shared" si="0"/>
        <v>0</v>
      </c>
    </row>
    <row r="18" spans="2:7" x14ac:dyDescent="0.15">
      <c r="B18" s="2" t="s">
        <v>505</v>
      </c>
      <c r="C18" s="2">
        <f>SUM(C10:C17)</f>
        <v>0</v>
      </c>
      <c r="D18" s="2">
        <f>SUM(D10:D17)</f>
        <v>0</v>
      </c>
      <c r="E18" s="2">
        <f>SUM(E10:E17)</f>
        <v>0</v>
      </c>
      <c r="F18" s="2">
        <f>SUM(F10:F17)</f>
        <v>0</v>
      </c>
      <c r="G18" s="2">
        <f>SUM(G10:G17)</f>
        <v>0</v>
      </c>
    </row>
    <row r="21" spans="2:7" x14ac:dyDescent="0.15">
      <c r="B21" s="1" t="s">
        <v>34</v>
      </c>
      <c r="C21" s="1" t="s">
        <v>514</v>
      </c>
    </row>
    <row r="22" spans="2:7" x14ac:dyDescent="0.15">
      <c r="B22" t="s">
        <v>515</v>
      </c>
      <c r="C22" s="44">
        <f>COUNTIF(Tracker!$L$10:$L$189,$B22)</f>
        <v>0</v>
      </c>
    </row>
    <row r="23" spans="2:7" x14ac:dyDescent="0.15">
      <c r="B23" t="s">
        <v>516</v>
      </c>
      <c r="C23" s="44">
        <f>COUNTIF(Tracker!$L$10:$L$189,$B23)</f>
        <v>0</v>
      </c>
    </row>
    <row r="24" spans="2:7" x14ac:dyDescent="0.15">
      <c r="B24" t="s">
        <v>517</v>
      </c>
      <c r="C24" s="44">
        <f>COUNTIF(Tracker!$L$10:$L$189,$B24)</f>
        <v>0</v>
      </c>
    </row>
    <row r="25" spans="2:7" x14ac:dyDescent="0.15">
      <c r="B25" t="s">
        <v>518</v>
      </c>
      <c r="C25" s="44">
        <f>COUNTIF(Tracker!$L$10:$L$189,$B25)</f>
        <v>0</v>
      </c>
    </row>
    <row r="26" spans="2:7" x14ac:dyDescent="0.15">
      <c r="B26" t="s">
        <v>519</v>
      </c>
      <c r="C26" s="44">
        <f>COUNTIF(Tracker!$L$10:$L$189,$B26)</f>
        <v>0</v>
      </c>
    </row>
    <row r="27" spans="2:7" x14ac:dyDescent="0.15">
      <c r="B27" s="2" t="s">
        <v>505</v>
      </c>
      <c r="C27" s="2">
        <f>SUM(C22:C26)</f>
        <v>0</v>
      </c>
    </row>
    <row r="30" spans="2:7" x14ac:dyDescent="0.15">
      <c r="B30" s="63" t="s">
        <v>520</v>
      </c>
      <c r="C30" s="64"/>
    </row>
    <row r="31" spans="2:7" x14ac:dyDescent="0.15">
      <c r="B31" t="s">
        <v>521</v>
      </c>
      <c r="C31" s="44">
        <f>COUNTA(Tracker!$B$10:$B$189)</f>
        <v>180</v>
      </c>
    </row>
    <row r="32" spans="2:7" x14ac:dyDescent="0.15">
      <c r="B32" t="s">
        <v>506</v>
      </c>
      <c r="C32" s="44">
        <f>COUNTIF(Tracker!$K$10:$K$189,"Addressed")</f>
        <v>0</v>
      </c>
    </row>
    <row r="33" spans="2:3" x14ac:dyDescent="0.15">
      <c r="B33" t="s">
        <v>522</v>
      </c>
      <c r="C33" s="44">
        <f>COUNTIF(Tracker!$F$10:$F$189,"MUST*")</f>
        <v>136</v>
      </c>
    </row>
    <row r="34" spans="2:3" x14ac:dyDescent="0.15">
      <c r="B34" t="s">
        <v>523</v>
      </c>
      <c r="C34" s="44">
        <f>COUNTIFS(Tracker!$F$10:$F$189,"MUST*",Tracker!$K$10:$K$189,"&lt;&gt;Addressed")-COUNTIFS(Tracker!$F$10:$F$189,"MUST*",Tracker!$K$10:$K$189,"N/A - confirm scope")</f>
        <v>136</v>
      </c>
    </row>
    <row r="35" spans="2:3" x14ac:dyDescent="0.15">
      <c r="B35" t="s">
        <v>524</v>
      </c>
      <c r="C35" s="44">
        <f>COUNTIF(Tracker!$K$10:$K$189,"Concern")+COUNTIF(Tracker!$K$10:$K$189,"Disagreement")</f>
        <v>0</v>
      </c>
    </row>
    <row r="36" spans="2:3" x14ac:dyDescent="0.15">
      <c r="B36" t="s">
        <v>525</v>
      </c>
      <c r="C36" s="44">
        <f>COUNTIF(Tracker!$K$10:$K$189,"Gap")</f>
        <v>0</v>
      </c>
    </row>
    <row r="37" spans="2:3" x14ac:dyDescent="0.15">
      <c r="B37" t="s">
        <v>526</v>
      </c>
      <c r="C37" s="44">
        <f>COUNTIF(Tracker!$L$10:$L$189,"Ridwan &amp; Corey")</f>
        <v>0</v>
      </c>
    </row>
  </sheetData>
  <mergeCells count="2">
    <mergeCell ref="B30:C30"/>
    <mergeCell ref="B7:H7"/>
  </mergeCells>
  <hyperlinks>
    <hyperlink ref="B2" location="Index!A1" display="ARC v2 Architecture Assessment Tracker" xr:uid="{00000000-0004-0000-0200-000000000000}"/>
  </hyperlink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:S26"/>
  <sheetViews>
    <sheetView showGridLines="0" showRowColHeader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2" sqref="D12"/>
    </sheetView>
  </sheetViews>
  <sheetFormatPr baseColWidth="10" defaultColWidth="8.6640625" defaultRowHeight="13" x14ac:dyDescent="0.15"/>
  <cols>
    <col min="1" max="1" width="2.83203125" customWidth="1"/>
    <col min="2" max="2" width="8" customWidth="1"/>
    <col min="3" max="3" width="11" customWidth="1"/>
    <col min="4" max="4" width="16" customWidth="1"/>
    <col min="5" max="5" width="50" customWidth="1"/>
    <col min="6" max="6" width="64" customWidth="1"/>
    <col min="7" max="7" width="22" customWidth="1"/>
  </cols>
  <sheetData>
    <row r="1" spans="1:19" ht="5.25" customHeight="1" x14ac:dyDescent="0.15"/>
    <row r="2" spans="1:19" x14ac:dyDescent="0.15">
      <c r="B2" s="29" t="s">
        <v>502</v>
      </c>
    </row>
    <row r="3" spans="1:19" x14ac:dyDescent="0.15">
      <c r="B3" s="30" t="s">
        <v>527</v>
      </c>
    </row>
    <row r="4" spans="1:19" x14ac:dyDescent="0.15">
      <c r="B4" s="30" t="s">
        <v>6</v>
      </c>
      <c r="F4" s="30" t="s">
        <v>1</v>
      </c>
    </row>
    <row r="5" spans="1:19" ht="6" customHeight="1" x14ac:dyDescent="0.1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16" customHeight="1" x14ac:dyDescent="0.15">
      <c r="B7" s="58" t="s">
        <v>528</v>
      </c>
      <c r="C7" s="59"/>
      <c r="D7" s="59"/>
      <c r="E7" s="59"/>
      <c r="F7" s="59"/>
      <c r="G7" s="59"/>
      <c r="H7" s="64"/>
    </row>
    <row r="8" spans="1:19" x14ac:dyDescent="0.15">
      <c r="B8" s="32" t="s">
        <v>529</v>
      </c>
    </row>
    <row r="9" spans="1:19" ht="14" customHeight="1" x14ac:dyDescent="0.15">
      <c r="B9" s="33" t="s">
        <v>24</v>
      </c>
      <c r="C9" s="33" t="s">
        <v>28</v>
      </c>
      <c r="D9" s="33" t="s">
        <v>33</v>
      </c>
      <c r="E9" s="33" t="s">
        <v>27</v>
      </c>
      <c r="F9" s="33" t="s">
        <v>530</v>
      </c>
      <c r="G9" s="33" t="s">
        <v>34</v>
      </c>
    </row>
    <row r="10" spans="1:19" ht="60" customHeight="1" x14ac:dyDescent="0.15">
      <c r="B10" s="34" t="s">
        <v>215</v>
      </c>
      <c r="C10" s="35" t="s">
        <v>42</v>
      </c>
      <c r="D10" s="48" t="s">
        <v>511</v>
      </c>
      <c r="E10" s="35"/>
      <c r="F10" s="37"/>
      <c r="G10" s="35"/>
    </row>
    <row r="11" spans="1:19" ht="60" customHeight="1" x14ac:dyDescent="0.15">
      <c r="B11" s="34" t="s">
        <v>219</v>
      </c>
      <c r="C11" s="35" t="s">
        <v>42</v>
      </c>
      <c r="D11" s="48" t="s">
        <v>512</v>
      </c>
      <c r="E11" s="35"/>
      <c r="F11" s="37"/>
      <c r="G11" s="35"/>
    </row>
    <row r="12" spans="1:19" ht="60" customHeight="1" x14ac:dyDescent="0.15">
      <c r="B12" s="34"/>
      <c r="C12" s="35"/>
      <c r="D12" s="48"/>
      <c r="E12" s="35"/>
      <c r="F12" s="37"/>
      <c r="G12" s="35"/>
    </row>
    <row r="13" spans="1:19" ht="60" customHeight="1" x14ac:dyDescent="0.15">
      <c r="B13" s="34"/>
      <c r="C13" s="35"/>
      <c r="D13" s="48"/>
      <c r="E13" s="35"/>
      <c r="F13" s="37"/>
      <c r="G13" s="35"/>
    </row>
    <row r="14" spans="1:19" ht="60" customHeight="1" x14ac:dyDescent="0.15">
      <c r="B14" s="34"/>
      <c r="C14" s="35"/>
      <c r="D14" s="48"/>
      <c r="E14" s="35"/>
      <c r="F14" s="37"/>
      <c r="G14" s="35"/>
    </row>
    <row r="15" spans="1:19" ht="60" customHeight="1" x14ac:dyDescent="0.15">
      <c r="B15" s="34"/>
      <c r="C15" s="35"/>
      <c r="D15" s="48"/>
      <c r="E15" s="35"/>
      <c r="F15" s="37"/>
      <c r="G15" s="35"/>
    </row>
    <row r="16" spans="1:19" ht="60" customHeight="1" x14ac:dyDescent="0.15">
      <c r="B16" s="34"/>
      <c r="C16" s="35"/>
      <c r="D16" s="48"/>
      <c r="E16" s="35"/>
      <c r="F16" s="37"/>
      <c r="G16" s="35"/>
    </row>
    <row r="17" spans="2:7" ht="60" customHeight="1" x14ac:dyDescent="0.15">
      <c r="B17" s="34"/>
      <c r="C17" s="35"/>
      <c r="D17" s="48"/>
      <c r="E17" s="35"/>
      <c r="F17" s="37"/>
      <c r="G17" s="35"/>
    </row>
    <row r="18" spans="2:7" ht="60" customHeight="1" x14ac:dyDescent="0.15">
      <c r="B18" s="34"/>
      <c r="C18" s="35"/>
      <c r="D18" s="48"/>
      <c r="E18" s="35"/>
      <c r="F18" s="37"/>
      <c r="G18" s="35"/>
    </row>
    <row r="19" spans="2:7" ht="60" customHeight="1" x14ac:dyDescent="0.15">
      <c r="B19" s="34"/>
      <c r="C19" s="35"/>
      <c r="D19" s="48"/>
      <c r="E19" s="35"/>
      <c r="F19" s="37"/>
      <c r="G19" s="35"/>
    </row>
    <row r="20" spans="2:7" ht="60" customHeight="1" x14ac:dyDescent="0.15">
      <c r="B20" s="34"/>
      <c r="C20" s="35"/>
      <c r="D20" s="48"/>
      <c r="E20" s="35"/>
      <c r="F20" s="37"/>
      <c r="G20" s="35"/>
    </row>
    <row r="21" spans="2:7" ht="60" customHeight="1" x14ac:dyDescent="0.15">
      <c r="B21" s="34"/>
      <c r="C21" s="35"/>
      <c r="D21" s="48"/>
      <c r="E21" s="35"/>
      <c r="F21" s="37"/>
      <c r="G21" s="35"/>
    </row>
    <row r="22" spans="2:7" ht="60" customHeight="1" x14ac:dyDescent="0.15">
      <c r="B22" s="34"/>
      <c r="C22" s="35"/>
      <c r="D22" s="48"/>
      <c r="E22" s="35"/>
      <c r="F22" s="37"/>
      <c r="G22" s="35"/>
    </row>
    <row r="23" spans="2:7" ht="60" customHeight="1" x14ac:dyDescent="0.15">
      <c r="B23" s="34"/>
      <c r="C23" s="35"/>
      <c r="D23" s="48"/>
      <c r="E23" s="35"/>
      <c r="F23" s="37"/>
      <c r="G23" s="35"/>
    </row>
    <row r="24" spans="2:7" ht="60" customHeight="1" x14ac:dyDescent="0.15">
      <c r="B24" s="34"/>
      <c r="C24" s="35"/>
      <c r="D24" s="48"/>
      <c r="E24" s="35"/>
      <c r="F24" s="37"/>
      <c r="G24" s="35"/>
    </row>
    <row r="25" spans="2:7" ht="60" customHeight="1" x14ac:dyDescent="0.15">
      <c r="B25" s="34"/>
      <c r="C25" s="35"/>
      <c r="D25" s="48"/>
      <c r="E25" s="35"/>
      <c r="F25" s="37"/>
      <c r="G25" s="35"/>
    </row>
    <row r="26" spans="2:7" ht="60" customHeight="1" x14ac:dyDescent="0.15">
      <c r="B26" s="34"/>
      <c r="C26" s="35"/>
      <c r="D26" s="48"/>
      <c r="E26" s="35"/>
      <c r="F26" s="37"/>
      <c r="G26" s="35"/>
    </row>
  </sheetData>
  <autoFilter ref="B9:G26" xr:uid="{00000000-0009-0000-0000-000003000000}"/>
  <mergeCells count="1">
    <mergeCell ref="B7:H7"/>
  </mergeCells>
  <hyperlinks>
    <hyperlink ref="B2" location="Index!A1" display="ARC v2 Architecture Assessment Tracker" xr:uid="{00000000-0004-0000-0300-000000000000}"/>
  </hyperlink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Index</vt:lpstr>
      <vt:lpstr>Tracker</vt:lpstr>
      <vt:lpstr>Summary</vt:lpstr>
      <vt:lpstr>Action Items</vt:lpstr>
      <vt:lpstr>'Action Items'!BtfeHeaderLastChanged</vt:lpstr>
      <vt:lpstr>Index!BtfeHeaderLastChanged</vt:lpstr>
      <vt:lpstr>Summary!BtfeHeaderLastChanged</vt:lpstr>
      <vt:lpstr>Tracker!BtfeHeaderLastChanged</vt:lpstr>
      <vt:lpstr>'Action Items'!BtfeHeaderSheetName</vt:lpstr>
      <vt:lpstr>Summary!BtfeHeaderSheetName</vt:lpstr>
      <vt:lpstr>Tracker!BtfeHeaderSheetName</vt:lpstr>
      <vt:lpstr>'Action Items'!BtfeHeaderWorkbookTitle</vt:lpstr>
      <vt:lpstr>Index!BtfeHeaderWorkbookTitle</vt:lpstr>
      <vt:lpstr>Summary!BtfeHeaderWorkbookTitle</vt:lpstr>
      <vt:lpstr>Tracker!BtfeHeaderWorkbookTitle</vt:lpstr>
      <vt:lpstr>BtfeIndexSheetTable</vt:lpstr>
      <vt:lpstr>Index!Print_Area</vt:lpstr>
      <vt:lpstr>Index!Print_Titles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Uppal, Sandeep</cp:lastModifiedBy>
  <cp:revision>0</cp:revision>
  <dcterms:created xsi:type="dcterms:W3CDTF">2013-06-27T12:25:43Z</dcterms:created>
  <dcterms:modified xsi:type="dcterms:W3CDTF">2026-09-22T09:56:24Z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  <property fmtid="{D5CDD505-2E9C-101B-9397-08002B2CF9AE}" pid="3" name="ContentTypeId">
    <vt:lpwstr>0x01010045F281E47467494BB4390BB5921BBFF1</vt:lpwstr>
  </property>
  <property fmtid="{D5CDD505-2E9C-101B-9397-08002B2CF9AE}" pid="4" name="MediaServiceImageTags">
    <vt:lpwstr/>
  </property>
</Properties>
</file>