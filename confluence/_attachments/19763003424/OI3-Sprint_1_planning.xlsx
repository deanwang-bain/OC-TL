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tatusneo0-my.sharepoint.com/personal/nikolozi_m_statusneo_com/Documents/Desktop/"/>
    </mc:Choice>
  </mc:AlternateContent>
  <xr:revisionPtr revIDLastSave="320" documentId="8_{CBBCB7F5-0EB8-40A4-B712-DA803D7C130D}" xr6:coauthVersionLast="47" xr6:coauthVersionMax="47" xr10:uidLastSave="{600116B1-553B-4137-93F1-75D767A7634C}"/>
  <bookViews>
    <workbookView xWindow="-80" yWindow="-80" windowWidth="19360" windowHeight="11440" activeTab="4" xr2:uid="{00000000-000D-0000-FFFF-FFFF00000000}"/>
  </bookViews>
  <sheets>
    <sheet name="Sprints" sheetId="2" r:id="rId1"/>
    <sheet name="Sprint 1" sheetId="4" r:id="rId2"/>
    <sheet name="Prerequisites" sheetId="9" r:id="rId3"/>
    <sheet name="Debt &amp; Decisions" sheetId="10" r:id="rId4"/>
    <sheet name="Summary" sheetId="11" r:id="rId5"/>
  </sheets>
  <definedNames>
    <definedName name="_xlnm._FilterDatabase" localSheetId="2" hidden="1">Prerequisites!$A$1:$K$30</definedName>
    <definedName name="_xlnm._FilterDatabase" localSheetId="1" hidden="1">'Sprint 1'!$A$6:$V$23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1" l="1"/>
  <c r="B15" i="11"/>
  <c r="B14" i="11"/>
  <c r="B13" i="11"/>
  <c r="B12" i="11"/>
  <c r="B7" i="11"/>
  <c r="B6" i="11"/>
  <c r="B8" i="11" l="1"/>
</calcChain>
</file>

<file path=xl/sharedStrings.xml><?xml version="1.0" encoding="utf-8"?>
<sst xmlns="http://schemas.openxmlformats.org/spreadsheetml/2006/main" count="689" uniqueCount="388">
  <si>
    <t>Frontend</t>
  </si>
  <si>
    <t>Data</t>
  </si>
  <si>
    <t>Quality Assurance</t>
  </si>
  <si>
    <t>ID</t>
  </si>
  <si>
    <t>Type</t>
  </si>
  <si>
    <t>Workstream</t>
  </si>
  <si>
    <t>Acceptance criteria</t>
  </si>
  <si>
    <t>Component</t>
  </si>
  <si>
    <t>Priority</t>
  </si>
  <si>
    <t>Role</t>
  </si>
  <si>
    <t>Depends on</t>
  </si>
  <si>
    <t>Blocked by</t>
  </si>
  <si>
    <t>Debt ref</t>
  </si>
  <si>
    <t>Approved</t>
  </si>
  <si>
    <t>Jira Key</t>
  </si>
  <si>
    <t>Sprint</t>
  </si>
  <si>
    <t>Start</t>
  </si>
  <si>
    <t>End</t>
  </si>
  <si>
    <t>Days</t>
  </si>
  <si>
    <t>Capacity (h)</t>
  </si>
  <si>
    <t>Theme</t>
  </si>
  <si>
    <t>Demo sentence</t>
  </si>
  <si>
    <t>Exit criteria</t>
  </si>
  <si>
    <t>Note</t>
  </si>
  <si>
    <t>S1</t>
  </si>
  <si>
    <t>2026-08-31</t>
  </si>
  <si>
    <t>2026-09-11</t>
  </si>
  <si>
    <t>Foundations and a thin live thread</t>
  </si>
  <si>
    <t>Sign in, create a case for Nike, watch a real background run start and stream progress back to the screen.</t>
  </si>
  <si>
    <t>Dev environment deployed from code. Auth works end to end. A case exists, a Run exists, and SSE delivers progress to the browser.</t>
  </si>
  <si>
    <t>Nothing is deployed by us. The platform team owns provisioning, pipelines and promotion. Our S1 output is a running application on whatever target exists, plus the three reference patterns every service and worker will follow.</t>
  </si>
  <si>
    <t>S2</t>
  </si>
  <si>
    <t>2026-09-14</t>
  </si>
  <si>
    <t>2026-09-25</t>
  </si>
  <si>
    <t>Peers, evidence spine and the audit trail</t>
  </si>
  <si>
    <t>The tool proposes a peer set with its reasons, and every number on the screen opens to show what was reported, what we adjusted, and why.</t>
  </si>
  <si>
    <t>Peer fan-out runs live with per-peer rationale and confidence. The four-part source audit renders. Every state change writes an actor-typed audit event.</t>
  </si>
  <si>
    <t>Figures in this sprint come from pre-calculated and fixture data, not from the calculation engine. This is deliberate: it shows a working flow to the business early and takes the hardest component in S3, at the point of maximum clarity from both the Bain side and from two sprints of real data-utilisation patterns. The cutover is story E11-S09 and it is P1. Say this plainly in the S2 demo rather than letting anyone assume the numbers are live.</t>
  </si>
  <si>
    <t>S3</t>
  </si>
  <si>
    <t>2026-09-28</t>
  </si>
  <si>
    <t>2026-10-09</t>
  </si>
  <si>
    <t>Numbers you can defend</t>
  </si>
  <si>
    <t>A size of prize built by a calculation engine, where any figure drills back through its derivation to a raw source value.</t>
  </si>
  <si>
    <t>Calculation engine executes a real definition graph. Analysis screen renders opportunities, cost bar, size of prize and the EBITDA bridge. Trace replay reproduces a figure exactly.</t>
  </si>
  <si>
    <t>The calculation engine lands here, not earlier. It is the highest custom-build risk in the programme and it benefits from two sprints of observed data-utilisation patterns. E11-S09 cuts the interim path over and removes it.</t>
  </si>
  <si>
    <t>S4</t>
  </si>
  <si>
    <t>2026-10-12</t>
  </si>
  <si>
    <t>2026-10-23</t>
  </si>
  <si>
    <t>The deck, and the assistant that argues with you</t>
  </si>
  <si>
    <t>A full Bain-formatted deck generated from the analysis and exported, with an assistant that changes the deck through named actions recorded in the log.</t>
  </si>
  <si>
    <t>CODE COMPLETE. Deck generates and exports to HTML, PDF and PPTX. Assistant acts only through declared tools. Anything not merged by the S4 review is cut, not carried.</t>
  </si>
  <si>
    <t>Code complete. Anything not merged by the S4 review is cut, not carried into S5. S5 has no feature capacity that is not already reserved for defects.</t>
  </si>
  <si>
    <t>S5</t>
  </si>
  <si>
    <t>2026-10-26</t>
  </si>
  <si>
    <t>2026-11-06</t>
  </si>
  <si>
    <t>Hardening, deployment and rehearsal</t>
  </si>
  <si>
    <t>The same run, on the event environment, inside the wall-clock budget, rehearsed end to end.</t>
  </si>
  <si>
    <t>Event environment live. UAT signed off. Performance and security passes complete. Two full dress rehearsals done. Failure playbook written.</t>
  </si>
  <si>
    <t>No new scope. Hardening, verification, rehearsal and defect burn-down only. The reserved defect capacity is real work, not padding.</t>
  </si>
  <si>
    <t>Hours</t>
  </si>
  <si>
    <t>Description</t>
  </si>
  <si>
    <t>All</t>
  </si>
  <si>
    <t>QA</t>
  </si>
  <si>
    <t>Epic</t>
  </si>
  <si>
    <t>Journey stage</t>
  </si>
  <si>
    <t>Points</t>
  </si>
  <si>
    <t>E01</t>
  </si>
  <si>
    <t>Platform Foundation and Delivery Pipeline</t>
  </si>
  <si>
    <t>Cross-cutting</t>
  </si>
  <si>
    <t>E02</t>
  </si>
  <si>
    <t>Identity, Access and Trust Boundary</t>
  </si>
  <si>
    <t>E03</t>
  </si>
  <si>
    <t>Design System and Frontend Foundation</t>
  </si>
  <si>
    <t>E04</t>
  </si>
  <si>
    <t>Case Lifecycle and Guided Workspace</t>
  </si>
  <si>
    <t>E05</t>
  </si>
  <si>
    <t>Entity Resolution and Company Search</t>
  </si>
  <si>
    <t>01 Target</t>
  </si>
  <si>
    <t>E06</t>
  </si>
  <si>
    <t>Integration and Connector Layer</t>
  </si>
  <si>
    <t>E07</t>
  </si>
  <si>
    <t>Orchestration, Runs and Progressive Delivery</t>
  </si>
  <si>
    <t>E11</t>
  </si>
  <si>
    <t>Calculation Engine and Definition Registry</t>
  </si>
  <si>
    <t>E15</t>
  </si>
  <si>
    <t>Quality, Evaluation, Hardening and Event Readiness</t>
  </si>
  <si>
    <t>S1  ·  31 Aug to 11 Sep 2026  ·  Foundations and a thin live thread</t>
  </si>
  <si>
    <t>Demo: Sign in, create a case for Nike, watch a real background run start and stream progress back to the screen.</t>
  </si>
  <si>
    <t>Exit: Dev environment deployed from code. Auth works end to end. A case exists, a Run exists, and SSE delivers progress to the browser.</t>
  </si>
  <si>
    <t>Note: Nothing is deployed by us. The platform team owns provisioning, pipelines and promotion. Our S1 output is a running application on whatever target exists, plus the three reference patterns every service and worker will follow.</t>
  </si>
  <si>
    <t>Parent ID</t>
  </si>
  <si>
    <t>Summary</t>
  </si>
  <si>
    <t>Fits capacity</t>
  </si>
  <si>
    <t>Approver</t>
  </si>
  <si>
    <t>Review notes</t>
  </si>
  <si>
    <t>P1 Event critical</t>
  </si>
  <si>
    <t>Not reviewed</t>
  </si>
  <si>
    <t>E01-S01</t>
  </si>
  <si>
    <t>Story</t>
  </si>
  <si>
    <t>Monorepo and service scaffolding</t>
  </si>
  <si>
    <t>Set up one repository with templates for a Node service and a Python service so a new service is a copy, not a project.</t>
  </si>
  <si>
    <t>A new service is created from a template in under an hour; both templates emit OpenAPI, OTel spans and a health endpoint; the import-boundary rule fails the build on a forbidden cross-module import</t>
  </si>
  <si>
    <t>PLAT</t>
  </si>
  <si>
    <t>In plan</t>
  </si>
  <si>
    <t>D-01</t>
  </si>
  <si>
    <t>BE-N</t>
  </si>
  <si>
    <t>BE-P</t>
  </si>
  <si>
    <t>E01-S02</t>
  </si>
  <si>
    <t>DATA</t>
  </si>
  <si>
    <t>Above the line</t>
  </si>
  <si>
    <t>Analytical and document storage layout</t>
  </si>
  <si>
    <t>Decide once where per-run data lives and how it is addressed, because every downstream service depends on the path convention and changing it later invalidates every stored case.</t>
  </si>
  <si>
    <t>Per-run analytical files are addressed by case identifier, then snapshot version, then medallion grouping; the document store uses the same case identifier as its root; a snapshot version is created, pinned and resolved through one service rather than by each caller building paths; reopening a pinned case reads the original files and never today's</t>
  </si>
  <si>
    <t>Data Access Service, Document Service</t>
  </si>
  <si>
    <t>PRE-13</t>
  </si>
  <si>
    <t>D-05</t>
  </si>
  <si>
    <t>AI</t>
  </si>
  <si>
    <t>E02-S01</t>
  </si>
  <si>
    <t>Okta single sign-on federating to Entra</t>
  </si>
  <si>
    <t>As a Bain user I want to sign in with my existing credentials so I never create an account for this tool.</t>
  </si>
  <si>
    <t>Sign-in completes through Okta with authorization code and PKCE and no client secret in the browser; Entra issues the only token the application trusts; the token carries app roles and group claims; sign-out clears the session</t>
  </si>
  <si>
    <t>PRE-05</t>
  </si>
  <si>
    <t>FE</t>
  </si>
  <si>
    <t>E02-S02</t>
  </si>
  <si>
    <t>The token is validated once, at the gateway</t>
  </si>
  <si>
    <t>Authentication terminates at the gateway so no service below re-implements it. The platform team owns the gateway; we own the policy specification and the test that proves nothing below it re-checks.</t>
  </si>
  <si>
    <t>The gateway rejects an invalid or expired token before any application code runs; per-user rate limits and payload limits are enforced there; a contract test fails the build if any service parses a token itself</t>
  </si>
  <si>
    <t>Experience BFF</t>
  </si>
  <si>
    <t>E03-S01</t>
  </si>
  <si>
    <t>Application shell, routing and state</t>
  </si>
  <si>
    <t>The frame every screen sits in: top bar, stepper, split workspace with a draggable divider, assistant panel.</t>
  </si>
  <si>
    <t>The shell renders with the top bar, stepper and split body; the divider drags and persists; server state and client state follow the agreed conventions; an error in one panel does not blank the other</t>
  </si>
  <si>
    <t>E03-S02</t>
  </si>
  <si>
    <t>Bain-token component library on Radix</t>
  </si>
  <si>
    <t>Build the primitives once, including the two-level drill-down sheet that appears on every single screen.</t>
  </si>
  <si>
    <t>Tokens match the mockups; primitives are documented in a local gallery; the L1 and L2 stacked sheet supports Escape to return to the sheet below; empty, loading, partial and error states exist as patterns rather than as one-offs</t>
  </si>
  <si>
    <t>E03-S03</t>
  </si>
  <si>
    <t>Streaming and run-progress client</t>
  </si>
  <si>
    <t>As a user I want to see results arrive as they land rather than staring at a spinner for four minutes.</t>
  </si>
  <si>
    <t>The SSE connection reconnects and resumes without losing events; run status renders as pending, partial, complete or failed; partial results render progressively rather than all at once at the end</t>
  </si>
  <si>
    <t>E04-S01</t>
  </si>
  <si>
    <t>Case establishment and the portfolio dashboard</t>
  </si>
  <si>
    <t>As a partner I want to see all my analyses in one place and start a new one, so the tool has a front door.</t>
  </si>
  <si>
    <t>A new case is created with a UUID that is used as the key in every downstream system; the dashboard groups by year, searches by company or sector, and shows an empty state; each card shows stage, progress, size of prize and collaborators; the card reads run status from the orchestration platform</t>
  </si>
  <si>
    <t>00 Dashboard</t>
  </si>
  <si>
    <t>E04-S02</t>
  </si>
  <si>
    <t>E04-S03</t>
  </si>
  <si>
    <t>Target setup screen</t>
  </si>
  <si>
    <t>As a partner I want to name a target and give the system enough context to steer everything downstream.</t>
  </si>
  <si>
    <t>The target resolves from a name through a disambiguation list; context and framing chips capture audience, trigger and priority; peer set size and comparability criteria are chosen and later render as the scoring factors on stage 02; documents upload with a processing status; the confidence panel names the single highest-value missing input</t>
  </si>
  <si>
    <t>E05-S01</t>
  </si>
  <si>
    <t>Company search and disambiguation</t>
  </si>
  <si>
    <t>As a user I want to type a company name and pick the right one from a list, because a name is not a unique identifier.</t>
  </si>
  <si>
    <t>Typeahead returns a candidate list with enough metadata to disambiguate; the source identifier is held in frontend state and sent back on peer selection; a composite entity id and source crosswalk exist; the identifier is never shown to the user</t>
  </si>
  <si>
    <t>E06-S02</t>
  </si>
  <si>
    <t>E05-S02</t>
  </si>
  <si>
    <t>Sector detection and classification</t>
  </si>
  <si>
    <t>As a user I want the sector detected for me, because it drives the KPI pack and the lever library.</t>
  </si>
  <si>
    <t>The sector chip fills in at the moment the target resolves and shows a pending state before that; classification maps to a taxonomy node; the Bain taxonomy is authoritative with any client taxonomy carried as a mapping</t>
  </si>
  <si>
    <t>PRE-27</t>
  </si>
  <si>
    <t>E06-S01</t>
  </si>
  <si>
    <t>PRE-03</t>
  </si>
  <si>
    <t>CapIQ connector</t>
  </si>
  <si>
    <t>The primary source for all reference data. Everything numerical starts here.</t>
  </si>
  <si>
    <t>Company, financial and peer-list endpoints are callable with pagination; Vendor Source Record and Acquired Reference Dataset are written with source metadata retained; a full fixture set exists for the reference case and its peers</t>
  </si>
  <si>
    <t>PRE-07</t>
  </si>
  <si>
    <t>Rate and quota management</t>
  </si>
  <si>
    <t>Neither orchestration substrate has a concept of an external API quota, so this is a real build.</t>
  </si>
  <si>
    <t>A per-source token bucket is configurable without a deploy; exhausting a quota produces a degraded run with a stated reason rather than a failed one; backpressure reaches the fan-out rather than the caller</t>
  </si>
  <si>
    <t>P2 Important</t>
  </si>
  <si>
    <t>D-08</t>
  </si>
  <si>
    <t>E07-S01</t>
  </si>
  <si>
    <t>Command and event transport</t>
  </si>
  <si>
    <t>Starting a run is a message, never a blocking call.</t>
  </si>
  <si>
    <t>A run command goes to a queue with competing consumers and dead-lettering; progress events fan out through a topic; Redis pub/sub bridges the topic to open SSE streams; a redeployed worker does not lose in-flight work</t>
  </si>
  <si>
    <t>E11-S01</t>
  </si>
  <si>
    <t>Expression grammar and parser</t>
  </si>
  <si>
    <t>A closed grammar with spreadsheet-familiar syntax, because a figure has to be re-derivable exactly, years later.</t>
  </si>
  <si>
    <t>The grammar covers arithmetic, comparison, conditional, a fixed function library and named references; loops, recursion, imports and any IO are absent by construction; a syntax error produces a message an author can act on</t>
  </si>
  <si>
    <t>VS5 Authoring</t>
  </si>
  <si>
    <t>E15-S01</t>
  </si>
  <si>
    <t>Test frameworks in place</t>
  </si>
  <si>
    <t>Both testing tracks wired into the pipeline in week one, because retrofitting a suite is how a hardening sprint gets eaten.</t>
  </si>
  <si>
    <t>Vitest, pytest, Playwright and Testcontainers all run in the pipeline; Schemathesis runs against every OpenAPI spec; the test data policy is enforced, and no production document can reach a test environment</t>
  </si>
  <si>
    <t>PRE-24</t>
  </si>
  <si>
    <t>PRE-11</t>
  </si>
  <si>
    <t>D-11</t>
  </si>
  <si>
    <t>PRE-26</t>
  </si>
  <si>
    <t>PRE-22</t>
  </si>
  <si>
    <t>PRE-09</t>
  </si>
  <si>
    <t>D-04</t>
  </si>
  <si>
    <t>PRE-04</t>
  </si>
  <si>
    <t>PRE-10</t>
  </si>
  <si>
    <t>D-03</t>
  </si>
  <si>
    <t>D-02</t>
  </si>
  <si>
    <t>PRE-19</t>
  </si>
  <si>
    <t>D-12</t>
  </si>
  <si>
    <t>D-06</t>
  </si>
  <si>
    <t>D-07</t>
  </si>
  <si>
    <t>PRE-15</t>
  </si>
  <si>
    <t>D-09</t>
  </si>
  <si>
    <t>PRE-16</t>
  </si>
  <si>
    <t>D-10</t>
  </si>
  <si>
    <t>PRE-17</t>
  </si>
  <si>
    <t>PRE-28</t>
  </si>
  <si>
    <t>PRE-23</t>
  </si>
  <si>
    <t>Category</t>
  </si>
  <si>
    <t>Item</t>
  </si>
  <si>
    <t>Owner</t>
  </si>
  <si>
    <t>Needed by</t>
  </si>
  <si>
    <t>Default if unanswered</t>
  </si>
  <si>
    <t>Cost of the default</t>
  </si>
  <si>
    <t>Status</t>
  </si>
  <si>
    <t>Raised on</t>
  </si>
  <si>
    <t>Answer / decision</t>
  </si>
  <si>
    <t>PRE-01</t>
  </si>
  <si>
    <t>Scope and event</t>
  </si>
  <si>
    <t>The event date, and what a working product means: live driven demo, recorded walkthrough, or hands-on access</t>
  </si>
  <si>
    <t>Bain</t>
  </si>
  <si>
    <t>P0</t>
  </si>
  <si>
    <t>2026-08-28</t>
  </si>
  <si>
    <t>Live driven demo on the event environment, event at or after 06 Nov</t>
  </si>
  <si>
    <t>If the event is mid-October per the July plan, S4 and S5 collapse into one and roughly 20 percent of scope has to be cut. The single highest-value question in this list</t>
  </si>
  <si>
    <t>Open</t>
  </si>
  <si>
    <t>PRE-02</t>
  </si>
  <si>
    <t>Environment</t>
  </si>
  <si>
    <t>Azure subscription and resource group in the target US region with contributor access</t>
  </si>
  <si>
    <t>Build against a StatusNeo-owned Azure subscription and migrate later</t>
  </si>
  <si>
    <t>A migration in S4 or S5, exactly when there is no slack for one</t>
  </si>
  <si>
    <t>Azure AI Foundry project with model deployments and confirmed TPM quota</t>
  </si>
  <si>
    <t>StatusNeo Foundry project for S1 and S2</t>
  </si>
  <si>
    <t>Prompt and evaluation history does not carry across, and quota surprises land late</t>
  </si>
  <si>
    <t>PRE-06</t>
  </si>
  <si>
    <t>Source repository and CI: GitHub org with Advanced Security and runners, or the Bain DevOps standard equivalent</t>
  </si>
  <si>
    <t>StatusNeo GitHub organisation with Advanced Security</t>
  </si>
  <si>
    <t>A repository migration and a pipeline rewrite before handover</t>
  </si>
  <si>
    <t>PRE-12</t>
  </si>
  <si>
    <t>Joint</t>
  </si>
  <si>
    <t>PRE-18</t>
  </si>
  <si>
    <t>Design and content</t>
  </si>
  <si>
    <t>PRE-20</t>
  </si>
  <si>
    <t>SN</t>
  </si>
  <si>
    <t>Raise a platform team request for every credential and identity change</t>
  </si>
  <si>
    <t>A round trip per credential across a ten-week build. Small in isolation, material in aggregate</t>
  </si>
  <si>
    <t>Team</t>
  </si>
  <si>
    <t>Frontend engineer hire: confirmed start date</t>
  </si>
  <si>
    <t>Assumed to start at the beginning of S2. Until then the architect and the two developers absorb frontend work</t>
  </si>
  <si>
    <t>The frontend workstream has zero dedicated capacity today and carries every screen in the product. A slip here is the most direct route to missing the event</t>
  </si>
  <si>
    <t>Data engineer hire: confirmed start date</t>
  </si>
  <si>
    <t>Assumed to start at the beginning of S2. Until then the architect and the two developers absorb data work</t>
  </si>
  <si>
    <t>The data workstream has zero dedicated capacity today and carries the calculation engine, which is the highest custom-build risk in the programme</t>
  </si>
  <si>
    <t>Okta application registration and Entra app registration with SAML federation, app roles and group claims</t>
  </si>
  <si>
    <t>2026-09-02</t>
  </si>
  <si>
    <t>Local development auth shim behind a feature flag, real identity in S2</t>
  </si>
  <si>
    <t>Entitlement logic gets written against a shape that may not match, and per-case enforcement is rebuilt</t>
  </si>
  <si>
    <t>CapIQ API credentials, published rate limits, per-call cost, and licence terms for internal use and client decks</t>
  </si>
  <si>
    <t>Recorded fixtures for the reference case, plus a conservative fixed token bucket</t>
  </si>
  <si>
    <t>Open item E4. The demo runs on fixtures rather than live data, which is survivable but is not the story we want</t>
  </si>
  <si>
    <t>Open decision</t>
  </si>
  <si>
    <t>Request and response schemas for every data source, alongside credentials and rate limits</t>
  </si>
  <si>
    <t>Schemas inferred from live responses and pinned as fixtures, with an adapter layer absorbing later change</t>
  </si>
  <si>
    <t>Connector work is guesswork without them, and a schema surprise in S3 lands after the metric model is built on the wrong shape</t>
  </si>
  <si>
    <t>PRE-08</t>
  </si>
  <si>
    <t>SharePoint site collection, service account, Graph application permissions, per-case folder convention</t>
  </si>
  <si>
    <t>2026-09-04</t>
  </si>
  <si>
    <t>Azure Blob for documents in S1 and S2, SharePoint wired in S3</t>
  </si>
  <si>
    <t>Native document retrieval for agents is why SharePoint earned its place. Deferring it defers the retrieval path</t>
  </si>
  <si>
    <t>The role set per case and what each role gates</t>
  </si>
  <si>
    <t>Owner, Contributor, Viewer. Owner alone may delete, share and promote a version</t>
  </si>
  <si>
    <t>Per-case entitlement enforcement at the BFF. Wrong roles means rewriting the authorisation layer</t>
  </si>
  <si>
    <t>The list of calculations with their formulas, and which data source supplies each variable in each formula</t>
  </si>
  <si>
    <t>StatusNeo authors a candidate definition set from the mockups and the sector KPIs, for Bain review</t>
  </si>
  <si>
    <t>The single largest content dependency in the programme. The engine can have a grammar, a graph and a trace and still compute nothing without it. It blocks the sector pack and, through it, the whole of the analysis stage</t>
  </si>
  <si>
    <t>P1</t>
  </si>
  <si>
    <t>Out. CapIQ supplies the curated peer list at MVP</t>
  </si>
  <si>
    <t>Removes an integration and a dependency on a separate Bain team. If VCC is expected on stage, we need to know now</t>
  </si>
  <si>
    <t>Universe eligibility criteria for the filtered set</t>
  </si>
  <si>
    <t>Any company resolvable in CapIQ is eligible</t>
  </si>
  <si>
    <t>Membership evaluation ships permissive. Tightening later is a rule change, not a rebuild</t>
  </si>
  <si>
    <t>Sage, IRIS, AURA and LSEG API tokens with the correct scopes</t>
  </si>
  <si>
    <t>Fixtures for each. Bain IP retrieval shows as scaffolding at the event</t>
  </si>
  <si>
    <t>Credentials and the sell-side analyst view are on the peer detail sheet. Without them that sheet is visibly thinner</t>
  </si>
  <si>
    <t>Written confirmation of the LSEG persistence restriction and whether a summary may appear in a client deck</t>
  </si>
  <si>
    <t>Bain Legal</t>
  </si>
  <si>
    <t>Summaries only, and exclude that source from any rendered deck</t>
  </si>
  <si>
    <t>Loses a source from the case-for-change signals, where analyst commentary is some of the strongest evidence</t>
  </si>
  <si>
    <t>AG-Grid Enterprise licence key from the existing Bain licence</t>
  </si>
  <si>
    <t>AG-Grid Community for the event: no grouping, master-detail or Excel export</t>
  </si>
  <si>
    <t>Dataset export and raw-data inspection are named capabilities on the analysis screen. Community grade is visibly worse</t>
  </si>
  <si>
    <t>Suggested weighting criteria across API, document and web-derived data, for source arbitration</t>
  </si>
  <si>
    <t>A default precedence supplied to the model as a recommendation, with the model arbitrating and the user able to override</t>
  </si>
  <si>
    <t>Reconciliation has no stated basis for choosing between disagreeing sources. The user-override path makes a wrong default recoverable, but every arbitration then needs manual review</t>
  </si>
  <si>
    <t>PRE-25</t>
  </si>
  <si>
    <t>2026-09-18</t>
  </si>
  <si>
    <t>Authoritative taxonomy when Bain's and the client's conflict</t>
  </si>
  <si>
    <t>Bain taxonomy authoritative, client taxonomy carried as a mapping</t>
  </si>
  <si>
    <t>Bain gave mixed answers. Affects classification and peer long-list scoping</t>
  </si>
  <si>
    <t>PRE-29</t>
  </si>
  <si>
    <t>Case state machine including archival, and deletion semantics</t>
  </si>
  <si>
    <t>A case lives until deleted. Delete is soft, the audit trail survives, documents are tombstoned</t>
  </si>
  <si>
    <t>Retention and disposal in the case service. A hard-delete requirement changes the data model</t>
  </si>
  <si>
    <t>CopilotKit or AG-UI licence for the assistant surface</t>
  </si>
  <si>
    <t>Build the assistant surface directly on the AG-UI protocol without the component library</t>
  </si>
  <si>
    <t>Roughly one to two weeks of frontend work moves in-house, landing in the sprint that already carries the deck</t>
  </si>
  <si>
    <t>PRE-14</t>
  </si>
  <si>
    <t>Bain brand assets: PPTX or PDF master, logos, fonts, colour tokens, confidentiality footer text</t>
  </si>
  <si>
    <t>Bain Design</t>
  </si>
  <si>
    <t>Template engine built against a StatusNeo reconstruction of the mockup styling</t>
  </si>
  <si>
    <t>The deck is the artifact shown at the event. An approximate Bain template is the most visible possible flaw</t>
  </si>
  <si>
    <t>Whether sector scope resolves at run time or is pinned at case creation</t>
  </si>
  <si>
    <t>Pinned at case creation, changeable only by creating a new version</t>
  </si>
  <si>
    <t>Calculation scope resolution. The engine resolves the effective set once and pins it</t>
  </si>
  <si>
    <t>2026-10-02</t>
  </si>
  <si>
    <t>Golden dataset: reference peer sets, expected opportunity themes, known-good claims</t>
  </si>
  <si>
    <t>Bain analysts</t>
  </si>
  <si>
    <t>Reference set authored by StatusNeo from the mockup data and reviewed asynchronously</t>
  </si>
  <si>
    <t>Offline regression has nothing to measure against, and is the output any good has no answer but opinion</t>
  </si>
  <si>
    <t>PRE-21</t>
  </si>
  <si>
    <t>Deployment and environment promotion owned by the Bain platform team, including the event environment</t>
  </si>
  <si>
    <t>Manual deployment coordinated with the platform team for each environment</t>
  </si>
  <si>
    <t>S5 is verification and rehearsal, not first deployment. If promotion is not routine by then, the rehearsal becomes a deployment exercise</t>
  </si>
  <si>
    <t>Upload volume cap per case</t>
  </si>
  <si>
    <t>P2</t>
  </si>
  <si>
    <t>20 documents, 50MB each, 200MB per case</t>
  </si>
  <si>
    <t>Document service limits and parsing cost. Trivially changeable</t>
  </si>
  <si>
    <t>Audit retention period and who may query the trail beyond the assistant</t>
  </si>
  <si>
    <t>Retain indefinitely for the event, query scoped to case collaborators</t>
  </si>
  <si>
    <t>Digest cadence and storage sizing. Low risk in a 10-week window, real at scale</t>
  </si>
  <si>
    <t>Availability target, and whether anything needs a second availability zone</t>
  </si>
  <si>
    <t>Single zone, single region. No HA requirement for the event</t>
  </si>
  <si>
    <t>Cost and topology. Cheap to answer, expensive to retrofit at scale</t>
  </si>
  <si>
    <t>Every item below is tested against all three: it must not affect the end to end flow, the output quality bar, or the rigour of the calculations. An item that fails any one of them is not debt, it is a scope cut, and it is named as one.</t>
  </si>
  <si>
    <t>Deliberate shortcut</t>
  </si>
  <si>
    <t>Why it is acceptable</t>
  </si>
  <si>
    <t>Payback trigger</t>
  </si>
  <si>
    <t>Passes the three-part test</t>
  </si>
  <si>
    <t>Accepted</t>
  </si>
  <si>
    <t>Deploy the 27 logical components as roughly 9 container apps, grouped by runtime profile</t>
  </si>
  <si>
    <t>Module boundaries are kept and enforced by a CI import-boundary check, so splitting later is a deployment change rather than a code change</t>
  </si>
  <si>
    <t>Split when a component needs independent scaling or an independent release cadence. Not before</t>
  </si>
  <si>
    <t>Yes</t>
  </si>
  <si>
    <t>The calculation engine contract ships as REST with OpenAPI, not gRPC with protobuf</t>
  </si>
  <si>
    <t>The engine still deploys as its own service. A CI schema check substitutes for what the protobuf schema would have enforced</t>
  </si>
  <si>
    <t>Move to gRPC before the first external Bain consumer. Post-event, week 1 to 2</t>
  </si>
  <si>
    <t>Parquet lands in ADLS Gen2 rather than SharePoint. Documents stay in SharePoint</t>
  </si>
  <si>
    <t>Follows rather than the earlier discovery instruction. Cheaper, and it removes a later migration</t>
  </si>
  <si>
    <t>None. This is the intended end state. Confirm with Bain via PRE-13</t>
  </si>
  <si>
    <t>PPTX export uses a constrained layout set rather than a general OOXML writer</t>
  </si>
  <si>
    <t>Pixel fidelity across HTML, PDF and PPT is explicitly not required. Adding layouts later is additive</t>
  </si>
  <si>
    <t>Add layouts on demand as new slide types are needed</t>
  </si>
  <si>
    <t>In-app slide editing is limited to reorder, note, review flag and regenerate</t>
  </si>
  <si>
    <t>Full in-place editing is not needed to show the product working, and the export-and-edit path exists</t>
  </si>
  <si>
    <t>Post-pilot, driven by whether partners actually edit in the tool or in PowerPoint</t>
  </si>
  <si>
    <t>Rate limiting is a fixed conservative token bucket with configuration, not a quota manager</t>
  </si>
  <si>
    <t>Blocked on CapIQ limits being unknown. A conservative default is the only defensible position</t>
  </si>
  <si>
    <t>Evaluation at the event is structural invariants plus runtime judges only</t>
  </si>
  <si>
    <t>Offline regression and adversarial judges are already tagged post-MVP in the traceability matrix</t>
  </si>
  <si>
    <t>Offline harness in the pilot phase. The golden dataset still has to exist before then</t>
  </si>
  <si>
    <t>Real-time collaboration is share, grant and an activity log. No presence, no concurrent editing</t>
  </si>
  <si>
    <t>The mockup shows presence dots; they become static last-active text. Nothing in the demo needs live presence</t>
  </si>
  <si>
    <t>Only if pilot feedback shows partners and analysts working a case simultaneously</t>
  </si>
  <si>
    <t>Accessibility is an audit with critical and serious findings fixed, not full AA certification</t>
  </si>
  <si>
    <t>Automated axe-core coverage runs on every route from S2, so the gap is known rather than unmeasured</t>
  </si>
  <si>
    <t>Clear moderate findings in the pilot phase, before broad rollout</t>
  </si>
  <si>
    <t>Already the MVP scope position. Extensibility is proven by a stub second sector rather than claimed</t>
  </si>
  <si>
    <t>Second sector is an industrialisation decision, not debt</t>
  </si>
  <si>
    <t>Bain has not identified the business unit data source, and a large company's lines rarely correspond one to one with a peer's. Building a reconciliation on an unknown source would be guessing twice. The chat tailoring path on stage 04 is the stated fallback and it is real, not a placeholder</t>
  </si>
  <si>
    <t>Revisit once PRE-42 names a source. Comprehensive business-unit handling is explicitly reserved for post-MVP</t>
  </si>
  <si>
    <t>Sprint 2 demonstrates peer selection on pre-calculated and fixture figures. Sprint 3 replaces that path with live pre-processing and the calculation engine</t>
  </si>
  <si>
    <t>It shows a working flow to the business early and takes the hardest component at the point of maximum clarity, after two sprints of real data-utilisation patterns. Deliberate sequencing, not a shortcut</t>
  </si>
  <si>
    <t>PAY DOWN BEFORE THE EVENT, NOT AFTER. E11-S09 is the cutover story and it is P1. If it does not land, the numbers on stage are fixture figures and the calculation rigour claim fails</t>
  </si>
  <si>
    <t>Only if paid down</t>
  </si>
  <si>
    <t>Live rollup</t>
  </si>
  <si>
    <t>Committed task hours against capacity</t>
  </si>
  <si>
    <t>Committed (h)</t>
  </si>
  <si>
    <t>Load</t>
  </si>
  <si>
    <t>Committed hours by workstream, against that workstream's capacity</t>
  </si>
  <si>
    <t>Confirm StatusNeo access rights for vault and managed identity configuration, the only infrastructure work we take on if need to. If Angel/or other BAIN correspondent is responsible for everything infra then confirm.</t>
  </si>
  <si>
    <t>Backend</t>
  </si>
  <si>
    <t>Peer selection agents</t>
  </si>
  <si>
    <t>Business unit and geography scoping is offered only where the source already carries the breakdown. No business-unit level data acquisition or decomposition. The BU and geographic scoping to be the part of the post-mvp.</t>
  </si>
  <si>
    <t xml:space="preserve">Starting industries Software, Healthcare, Consumer (CPG) / Retail, TBD. </t>
  </si>
  <si>
    <t>Technical debt in the MVP</t>
  </si>
  <si>
    <t>PRE-09, PRE-15</t>
  </si>
  <si>
    <t>Rebuild once PRE-09 returns real limits and per-call cost</t>
  </si>
  <si>
    <t>Whether VCC is in the event cut at all, given D-12 removed it as a calculation source</t>
  </si>
  <si>
    <t>Formulas over the sprint sheet. Change a story or an estimate during review and these move with it.</t>
  </si>
  <si>
    <t>A red cell means that workstream is over its own capacity. Work either moves sprint, moves workstream, or comes out. Enter the per-workstream capacity in column C to activate the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</si>
</sst>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6"/>
      <color rgb="FF16324F"/>
      <name val="Calibri"/>
      <family val="2"/>
    </font>
    <font>
      <sz val="10"/>
      <color rgb="FF6B6B6B"/>
      <name val="Calibri"/>
      <family val="2"/>
    </font>
    <font>
      <b/>
      <sz val="11"/>
      <color rgb="FFCC0000"/>
      <name val="Calibri"/>
      <family val="2"/>
    </font>
    <font>
      <b/>
      <sz val="10"/>
      <name val="Calibri"/>
      <family val="2"/>
    </font>
    <font>
      <sz val="10"/>
      <name val="Calibri"/>
      <family val="2"/>
    </font>
    <font>
      <b/>
      <sz val="10"/>
      <color rgb="FFFFFFFF"/>
      <name val="Calibri"/>
      <family val="2"/>
    </font>
    <font>
      <b/>
      <sz val="11"/>
      <color rgb="FF16324F"/>
      <name val="Calibri"/>
      <family val="2"/>
    </font>
    <font>
      <b/>
      <sz val="10"/>
      <color rgb="FF33404D"/>
      <name val="Calibri"/>
      <family val="2"/>
    </font>
    <font>
      <b/>
      <sz val="11"/>
      <color rgb="FF000000"/>
      <name val="Calibri"/>
      <family val="2"/>
      <scheme val="minor"/>
    </font>
    <font>
      <b/>
      <sz val="13"/>
      <color rgb="FF33404D"/>
      <name val="Calibri"/>
      <family val="2"/>
    </font>
    <font>
      <b/>
      <sz val="11"/>
      <color rgb="FF0000FF"/>
      <name val="Calibri"/>
      <family val="2"/>
      <scheme val="minor"/>
    </font>
  </fonts>
  <fills count="6">
    <fill>
      <patternFill patternType="none"/>
    </fill>
    <fill>
      <patternFill patternType="gray125"/>
    </fill>
    <fill>
      <patternFill patternType="solid">
        <fgColor rgb="FF33404D"/>
      </patternFill>
    </fill>
    <fill>
      <patternFill patternType="solid">
        <fgColor rgb="FFE8EDF2"/>
      </patternFill>
    </fill>
    <fill>
      <patternFill patternType="solid">
        <fgColor rgb="FFFFF4E5"/>
      </patternFill>
    </fill>
    <fill>
      <patternFill patternType="solid">
        <fgColor rgb="FFF7F9FB"/>
      </patternFill>
    </fill>
  </fills>
  <borders count="2">
    <border>
      <left/>
      <right/>
      <top/>
      <bottom/>
      <diagonal/>
    </border>
    <border>
      <left style="thin">
        <color rgb="FFD3DDE6"/>
      </left>
      <right style="thin">
        <color rgb="FFD3DDE6"/>
      </right>
      <top style="thin">
        <color rgb="FFD3DDE6"/>
      </top>
      <bottom style="thin">
        <color rgb="FFD3DDE6"/>
      </bottom>
      <diagonal/>
    </border>
  </borders>
  <cellStyleXfs count="1">
    <xf numFmtId="0" fontId="0" fillId="0" borderId="0"/>
  </cellStyleXfs>
  <cellXfs count="26">
    <xf numFmtId="0" fontId="0" fillId="0" borderId="0" xfId="0"/>
    <xf numFmtId="0" fontId="1" fillId="0" borderId="0" xfId="0" applyFont="1"/>
    <xf numFmtId="0" fontId="2" fillId="0" borderId="0" xfId="0" applyFont="1"/>
    <xf numFmtId="0" fontId="3" fillId="0" borderId="0" xfId="0" applyFont="1"/>
    <xf numFmtId="0" fontId="6" fillId="2" borderId="1" xfId="0" applyFont="1" applyFill="1" applyBorder="1" applyAlignment="1">
      <alignment vertical="center" wrapText="1"/>
    </xf>
    <xf numFmtId="0" fontId="4" fillId="0" borderId="1" xfId="0" applyFont="1" applyBorder="1" applyAlignment="1">
      <alignment vertical="top" wrapText="1"/>
    </xf>
    <xf numFmtId="0" fontId="5" fillId="0" borderId="1" xfId="0" applyFont="1" applyBorder="1" applyAlignment="1">
      <alignment vertical="top" wrapText="1"/>
    </xf>
    <xf numFmtId="3" fontId="5" fillId="0" borderId="1" xfId="0" applyNumberFormat="1" applyFont="1" applyBorder="1" applyAlignment="1">
      <alignment vertical="top" wrapText="1"/>
    </xf>
    <xf numFmtId="0" fontId="7" fillId="3" borderId="1" xfId="0" applyFont="1" applyFill="1" applyBorder="1" applyAlignment="1">
      <alignment horizontal="left" vertical="top"/>
    </xf>
    <xf numFmtId="0" fontId="8" fillId="5" borderId="1" xfId="0" applyFont="1" applyFill="1" applyBorder="1" applyAlignment="1">
      <alignment horizontal="left" vertical="top"/>
    </xf>
    <xf numFmtId="0" fontId="8" fillId="5" borderId="1" xfId="0" applyFont="1" applyFill="1" applyBorder="1" applyAlignment="1">
      <alignment vertical="top" wrapText="1"/>
    </xf>
    <xf numFmtId="0" fontId="4" fillId="0" borderId="1" xfId="0" applyFont="1" applyBorder="1"/>
    <xf numFmtId="3"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2" fillId="0" borderId="0" xfId="0" applyFont="1" applyAlignment="1">
      <alignment vertical="top" wrapText="1"/>
    </xf>
    <xf numFmtId="0" fontId="0" fillId="0" borderId="0" xfId="0"/>
    <xf numFmtId="0" fontId="5" fillId="4" borderId="0" xfId="0" applyFont="1" applyFill="1" applyAlignment="1">
      <alignment vertical="top" wrapText="1"/>
    </xf>
    <xf numFmtId="3" fontId="9" fillId="0" borderId="1" xfId="0" applyNumberFormat="1" applyFont="1" applyBorder="1" applyAlignment="1">
      <alignment horizontal="center" vertical="center"/>
    </xf>
    <xf numFmtId="0" fontId="6" fillId="2" borderId="1" xfId="0" applyFont="1" applyFill="1" applyBorder="1" applyAlignment="1">
      <alignment horizontal="center" vertical="center" wrapText="1"/>
    </xf>
    <xf numFmtId="0" fontId="10" fillId="5" borderId="1" xfId="0" applyFont="1" applyFill="1" applyBorder="1" applyAlignment="1">
      <alignment horizontal="left" vertical="top"/>
    </xf>
    <xf numFmtId="0" fontId="10" fillId="5" borderId="1" xfId="0" applyFont="1" applyFill="1" applyBorder="1" applyAlignment="1">
      <alignment horizontal="left" vertical="top" wrapText="1"/>
    </xf>
    <xf numFmtId="0" fontId="10" fillId="5" borderId="1" xfId="0" applyFont="1" applyFill="1" applyBorder="1" applyAlignment="1">
      <alignment vertical="top" wrapText="1"/>
    </xf>
    <xf numFmtId="1" fontId="10" fillId="5" borderId="1" xfId="0" applyNumberFormat="1" applyFont="1" applyFill="1" applyBorder="1" applyAlignment="1">
      <alignment horizontal="center" vertical="top"/>
    </xf>
    <xf numFmtId="1" fontId="0" fillId="0" borderId="0" xfId="0" applyNumberFormat="1" applyAlignment="1">
      <alignment horizontal="center"/>
    </xf>
    <xf numFmtId="3" fontId="11" fillId="0" borderId="1" xfId="0" applyNumberFormat="1" applyFont="1" applyBorder="1" applyAlignment="1">
      <alignment horizontal="center" vertical="center"/>
    </xf>
    <xf numFmtId="0" fontId="0" fillId="0" borderId="0" xfId="0" applyFill="1"/>
  </cellXfs>
  <cellStyles count="1">
    <cellStyle name="Normal" xfId="0" builtinId="0"/>
  </cellStyles>
  <dxfs count="22">
    <dxf>
      <font>
        <b/>
        <i val="0"/>
        <color rgb="FFA03A2E"/>
      </font>
    </dxf>
    <dxf>
      <font>
        <b/>
        <i val="0"/>
        <color rgb="FFA03A2E"/>
      </font>
    </dxf>
    <dxf>
      <font>
        <b/>
        <i val="0"/>
        <color rgb="FFA03A2E"/>
      </font>
    </dxf>
    <dxf>
      <font>
        <b/>
        <i val="0"/>
        <color rgb="FFA03A2E"/>
      </font>
    </dxf>
    <dxf>
      <font>
        <b/>
        <i val="0"/>
        <color rgb="FFA03A2E"/>
      </font>
    </dxf>
    <dxf>
      <fill>
        <patternFill patternType="solid">
          <fgColor rgb="FFE6F4EA"/>
        </patternFill>
      </fill>
    </dxf>
    <dxf>
      <fill>
        <patternFill patternType="solid">
          <fgColor rgb="FFFFF4E5"/>
        </patternFill>
      </fill>
    </dxf>
    <dxf>
      <font>
        <b/>
        <color rgb="FFA03A2E"/>
      </font>
      <fill>
        <patternFill patternType="solid">
          <fgColor rgb="FFFDECEA"/>
        </patternFill>
      </fill>
    </dxf>
    <dxf>
      <font>
        <b/>
        <color rgb="FFA03A2E"/>
      </font>
      <fill>
        <patternFill patternType="solid">
          <fgColor rgb="FFFDECEA"/>
        </patternFill>
      </fill>
    </dxf>
    <dxf>
      <font>
        <b/>
        <color rgb="FF1E7B34"/>
      </font>
      <fill>
        <patternFill patternType="solid">
          <fgColor rgb="FFE6F4EA"/>
        </patternFill>
      </fill>
    </dxf>
    <dxf>
      <font>
        <b/>
        <color rgb="FFA03A2E"/>
      </font>
      <fill>
        <patternFill patternType="solid">
          <fgColor rgb="FFFDECEA"/>
        </patternFill>
      </fill>
    </dxf>
    <dxf>
      <fill>
        <patternFill patternType="solid">
          <fgColor rgb="FFE6F4EA"/>
        </patternFill>
      </fill>
    </dxf>
    <dxf>
      <fill>
        <patternFill patternType="solid">
          <fgColor rgb="FFFFF4E5"/>
        </patternFill>
      </fill>
    </dxf>
    <dxf>
      <font>
        <b/>
        <color rgb="FFA03A2E"/>
      </font>
      <fill>
        <patternFill patternType="solid">
          <fgColor rgb="FFFDECEA"/>
        </patternFill>
      </fill>
    </dxf>
    <dxf>
      <font>
        <b/>
        <color rgb="FFB8912B"/>
      </font>
      <fill>
        <patternFill patternType="solid">
          <fgColor rgb="FFFFF4E5"/>
        </patternFill>
      </fill>
    </dxf>
    <dxf>
      <font>
        <b/>
        <color rgb="FFA03A2E"/>
      </font>
      <fill>
        <patternFill patternType="solid">
          <fgColor rgb="FFFDECEA"/>
        </patternFill>
      </fill>
    </dxf>
    <dxf>
      <font>
        <color rgb="FF1E7B34"/>
      </font>
      <fill>
        <patternFill patternType="solid">
          <fgColor rgb="FFE6F4EA"/>
        </patternFill>
      </fill>
    </dxf>
    <dxf>
      <font>
        <b/>
        <color rgb="FF1E7B34"/>
      </font>
      <fill>
        <patternFill patternType="solid">
          <fgColor rgb="FFE6F4EA"/>
        </patternFill>
      </fill>
    </dxf>
    <dxf>
      <fill>
        <patternFill patternType="solid">
          <fgColor rgb="FFFFF4E5"/>
        </patternFill>
      </fill>
    </dxf>
    <dxf>
      <font>
        <color rgb="FF1E7B34"/>
      </font>
      <fill>
        <patternFill patternType="solid">
          <fgColor rgb="FFE6F4EA"/>
        </patternFill>
      </fill>
    </dxf>
    <dxf>
      <font>
        <b/>
        <color rgb="FFA03A2E"/>
      </font>
      <fill>
        <patternFill patternType="solid">
          <fgColor rgb="FFFDECEA"/>
        </patternFill>
      </fill>
    </dxf>
    <dxf>
      <font>
        <b/>
        <color rgb="FFCC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20D9B47-2A0F-4915-8D72-19EC6ABB2633}">
  <we:reference id="WA200009404" version="1.0.0.8" store="Omex" storeType="OMEX"/>
  <we:alternateReferences>
    <we:reference id="WA200009404" version="1.0.0.8" store="WA200009404" storeType="OMEX"/>
  </we:alternateReferences>
  <we:properties>
    <we:property name="claude.fileId" value="&quot;af31d238-e713-499a-84a3-2a157fafb6d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
  <sheetViews>
    <sheetView zoomScale="101" zoomScaleNormal="167" workbookViewId="0">
      <pane ySplit="1" topLeftCell="A2" activePane="bottomLeft" state="frozen"/>
      <selection pane="bottomLeft" activeCell="A3" sqref="A3"/>
    </sheetView>
  </sheetViews>
  <sheetFormatPr defaultColWidth="8.85546875" defaultRowHeight="15" x14ac:dyDescent="0.25"/>
  <cols>
    <col min="1" max="1" width="8" customWidth="1"/>
    <col min="2" max="3" width="12" customWidth="1"/>
    <col min="4" max="4" width="7" customWidth="1"/>
    <col min="5" max="5" width="12" customWidth="1"/>
    <col min="6" max="6" width="26" customWidth="1"/>
    <col min="7" max="7" width="48" customWidth="1"/>
    <col min="8" max="8" width="54" customWidth="1"/>
    <col min="9" max="9" width="62" customWidth="1"/>
  </cols>
  <sheetData>
    <row r="1" spans="1:9" ht="30" customHeight="1" x14ac:dyDescent="0.25">
      <c r="A1" s="4" t="s">
        <v>15</v>
      </c>
      <c r="B1" s="4" t="s">
        <v>16</v>
      </c>
      <c r="C1" s="4" t="s">
        <v>17</v>
      </c>
      <c r="D1" s="4" t="s">
        <v>18</v>
      </c>
      <c r="E1" s="4" t="s">
        <v>19</v>
      </c>
      <c r="F1" s="4" t="s">
        <v>20</v>
      </c>
      <c r="G1" s="4" t="s">
        <v>21</v>
      </c>
      <c r="H1" s="4" t="s">
        <v>22</v>
      </c>
      <c r="I1" s="4" t="s">
        <v>23</v>
      </c>
    </row>
    <row r="2" spans="1:9" ht="96" customHeight="1" x14ac:dyDescent="0.25">
      <c r="A2" s="5" t="s">
        <v>24</v>
      </c>
      <c r="B2" s="6" t="s">
        <v>25</v>
      </c>
      <c r="C2" s="6" t="s">
        <v>26</v>
      </c>
      <c r="D2" s="6">
        <v>10</v>
      </c>
      <c r="E2" s="7">
        <v>228</v>
      </c>
      <c r="F2" s="6" t="s">
        <v>27</v>
      </c>
      <c r="G2" s="6" t="s">
        <v>28</v>
      </c>
      <c r="H2" s="6" t="s">
        <v>29</v>
      </c>
      <c r="I2" s="6" t="s">
        <v>30</v>
      </c>
    </row>
    <row r="3" spans="1:9" ht="96" customHeight="1" x14ac:dyDescent="0.25">
      <c r="A3" s="5" t="s">
        <v>31</v>
      </c>
      <c r="B3" s="6" t="s">
        <v>32</v>
      </c>
      <c r="C3" s="6" t="s">
        <v>33</v>
      </c>
      <c r="D3" s="6">
        <v>10</v>
      </c>
      <c r="E3" s="7">
        <v>358</v>
      </c>
      <c r="F3" s="6" t="s">
        <v>34</v>
      </c>
      <c r="G3" s="6" t="s">
        <v>35</v>
      </c>
      <c r="H3" s="6" t="s">
        <v>36</v>
      </c>
      <c r="I3" s="6" t="s">
        <v>37</v>
      </c>
    </row>
    <row r="4" spans="1:9" ht="96" customHeight="1" x14ac:dyDescent="0.25">
      <c r="A4" s="5" t="s">
        <v>38</v>
      </c>
      <c r="B4" s="6" t="s">
        <v>39</v>
      </c>
      <c r="C4" s="6" t="s">
        <v>40</v>
      </c>
      <c r="D4" s="6">
        <v>10</v>
      </c>
      <c r="E4" s="7">
        <v>358</v>
      </c>
      <c r="F4" s="6" t="s">
        <v>41</v>
      </c>
      <c r="G4" s="6" t="s">
        <v>42</v>
      </c>
      <c r="H4" s="6" t="s">
        <v>43</v>
      </c>
      <c r="I4" s="6" t="s">
        <v>44</v>
      </c>
    </row>
    <row r="5" spans="1:9" ht="96" customHeight="1" x14ac:dyDescent="0.25">
      <c r="A5" s="5" t="s">
        <v>45</v>
      </c>
      <c r="B5" s="6" t="s">
        <v>46</v>
      </c>
      <c r="C5" s="6" t="s">
        <v>47</v>
      </c>
      <c r="D5" s="6">
        <v>10</v>
      </c>
      <c r="E5" s="7">
        <v>358</v>
      </c>
      <c r="F5" s="6" t="s">
        <v>48</v>
      </c>
      <c r="G5" s="6" t="s">
        <v>49</v>
      </c>
      <c r="H5" s="6" t="s">
        <v>50</v>
      </c>
      <c r="I5" s="6" t="s">
        <v>51</v>
      </c>
    </row>
    <row r="6" spans="1:9" ht="96" customHeight="1" x14ac:dyDescent="0.25">
      <c r="A6" s="5" t="s">
        <v>52</v>
      </c>
      <c r="B6" s="6" t="s">
        <v>53</v>
      </c>
      <c r="C6" s="6" t="s">
        <v>54</v>
      </c>
      <c r="D6" s="6">
        <v>10</v>
      </c>
      <c r="E6" s="7">
        <v>358</v>
      </c>
      <c r="F6" s="6" t="s">
        <v>55</v>
      </c>
      <c r="G6" s="6" t="s">
        <v>56</v>
      </c>
      <c r="H6" s="6" t="s">
        <v>57</v>
      </c>
      <c r="I6" s="6" t="s">
        <v>58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7"/>
  <sheetViews>
    <sheetView zoomScale="70" zoomScaleNormal="167" workbookViewId="0">
      <selection activeCell="A10" sqref="A10"/>
    </sheetView>
  </sheetViews>
  <sheetFormatPr defaultColWidth="8.85546875" defaultRowHeight="15" x14ac:dyDescent="0.25"/>
  <cols>
    <col min="1" max="1" width="16" customWidth="1"/>
    <col min="2" max="2" width="8" customWidth="1"/>
    <col min="3" max="3" width="14" customWidth="1"/>
    <col min="4" max="4" width="19.28515625" customWidth="1"/>
    <col min="5" max="5" width="36" customWidth="1"/>
    <col min="6" max="6" width="56" customWidth="1"/>
    <col min="7" max="7" width="66" customWidth="1"/>
    <col min="8" max="8" width="76" customWidth="1"/>
    <col min="9" max="9" width="26" hidden="1" customWidth="1"/>
    <col min="10" max="10" width="20" hidden="1" customWidth="1"/>
    <col min="11" max="11" width="16" hidden="1" customWidth="1"/>
    <col min="12" max="12" width="8" hidden="1" customWidth="1"/>
    <col min="13" max="13" width="27.140625" style="23" customWidth="1"/>
    <col min="14" max="14" width="8" hidden="1" customWidth="1"/>
    <col min="15" max="15" width="16" hidden="1" customWidth="1"/>
    <col min="16" max="16" width="18" hidden="1" customWidth="1"/>
    <col min="17" max="17" width="14" hidden="1" customWidth="1"/>
    <col min="18" max="18" width="9" hidden="1" customWidth="1"/>
    <col min="19" max="19" width="20" hidden="1" customWidth="1"/>
    <col min="20" max="20" width="14" hidden="1" customWidth="1"/>
    <col min="21" max="21" width="40" hidden="1" customWidth="1"/>
    <col min="22" max="22" width="12" hidden="1" customWidth="1"/>
    <col min="23" max="23" width="13.28515625" customWidth="1"/>
    <col min="24" max="24" width="72.42578125" customWidth="1"/>
  </cols>
  <sheetData>
    <row r="1" spans="1:22" ht="21" x14ac:dyDescent="0.35">
      <c r="A1" s="1" t="s">
        <v>86</v>
      </c>
      <c r="M1"/>
    </row>
    <row r="2" spans="1:22" x14ac:dyDescent="0.25">
      <c r="A2" s="2" t="s">
        <v>87</v>
      </c>
      <c r="M2"/>
    </row>
    <row r="3" spans="1:22" x14ac:dyDescent="0.25">
      <c r="A3" s="2" t="s">
        <v>88</v>
      </c>
      <c r="M3"/>
    </row>
    <row r="4" spans="1:22" ht="45.95" customHeight="1" x14ac:dyDescent="0.25">
      <c r="A4" s="16" t="s">
        <v>89</v>
      </c>
      <c r="B4" s="15"/>
      <c r="C4" s="15"/>
      <c r="D4" s="15"/>
      <c r="E4" s="15"/>
      <c r="F4" s="15"/>
      <c r="G4" s="15"/>
      <c r="H4" s="15"/>
      <c r="I4" s="15"/>
      <c r="J4" s="15"/>
      <c r="K4" s="15"/>
      <c r="L4" s="15"/>
      <c r="M4" s="15"/>
      <c r="N4" s="15"/>
      <c r="O4" s="15"/>
      <c r="P4" s="15"/>
      <c r="Q4" s="15"/>
      <c r="R4" s="15"/>
      <c r="S4" s="15"/>
      <c r="T4" s="15"/>
      <c r="U4" s="15"/>
      <c r="V4" s="15"/>
    </row>
    <row r="5" spans="1:22" x14ac:dyDescent="0.25">
      <c r="M5"/>
    </row>
    <row r="6" spans="1:22" x14ac:dyDescent="0.25">
      <c r="A6" s="4" t="s">
        <v>3</v>
      </c>
      <c r="B6" s="4" t="s">
        <v>4</v>
      </c>
      <c r="C6" s="4" t="s">
        <v>90</v>
      </c>
      <c r="D6" s="4" t="s">
        <v>5</v>
      </c>
      <c r="E6" s="4" t="s">
        <v>63</v>
      </c>
      <c r="F6" s="4" t="s">
        <v>91</v>
      </c>
      <c r="G6" s="4" t="s">
        <v>60</v>
      </c>
      <c r="H6" s="4" t="s">
        <v>6</v>
      </c>
      <c r="I6" s="4" t="s">
        <v>7</v>
      </c>
      <c r="J6" s="4" t="s">
        <v>64</v>
      </c>
      <c r="K6" s="4" t="s">
        <v>8</v>
      </c>
      <c r="L6" s="4" t="s">
        <v>65</v>
      </c>
      <c r="M6" s="4" t="s">
        <v>59</v>
      </c>
      <c r="N6" s="4" t="s">
        <v>9</v>
      </c>
      <c r="O6" s="4" t="s">
        <v>92</v>
      </c>
      <c r="P6" s="4" t="s">
        <v>10</v>
      </c>
      <c r="Q6" s="4" t="s">
        <v>11</v>
      </c>
      <c r="R6" s="4" t="s">
        <v>12</v>
      </c>
      <c r="S6" s="4" t="s">
        <v>13</v>
      </c>
      <c r="T6" s="4" t="s">
        <v>93</v>
      </c>
      <c r="U6" s="4" t="s">
        <v>94</v>
      </c>
      <c r="V6" s="4" t="s">
        <v>14</v>
      </c>
    </row>
    <row r="7" spans="1:22" ht="66" customHeight="1" x14ac:dyDescent="0.25">
      <c r="A7" s="19" t="s">
        <v>97</v>
      </c>
      <c r="B7" s="19" t="s">
        <v>98</v>
      </c>
      <c r="C7" s="19" t="s">
        <v>66</v>
      </c>
      <c r="D7" s="19" t="s">
        <v>378</v>
      </c>
      <c r="E7" s="20" t="s">
        <v>67</v>
      </c>
      <c r="F7" s="21" t="s">
        <v>99</v>
      </c>
      <c r="G7" s="21" t="s">
        <v>100</v>
      </c>
      <c r="H7" s="21" t="s">
        <v>101</v>
      </c>
      <c r="I7" s="10" t="s">
        <v>61</v>
      </c>
      <c r="J7" s="9" t="s">
        <v>68</v>
      </c>
      <c r="K7" s="9" t="s">
        <v>95</v>
      </c>
      <c r="L7" s="9">
        <v>5</v>
      </c>
      <c r="M7" s="22">
        <v>10</v>
      </c>
      <c r="N7" s="9" t="s">
        <v>102</v>
      </c>
      <c r="O7" s="9" t="s">
        <v>103</v>
      </c>
      <c r="P7" s="9"/>
      <c r="Q7" s="9"/>
      <c r="R7" s="9" t="s">
        <v>104</v>
      </c>
      <c r="S7" s="9" t="s">
        <v>96</v>
      </c>
      <c r="T7" s="9"/>
      <c r="U7" s="9"/>
      <c r="V7" s="9"/>
    </row>
    <row r="8" spans="1:22" ht="66" customHeight="1" x14ac:dyDescent="0.25">
      <c r="A8" s="19" t="s">
        <v>107</v>
      </c>
      <c r="B8" s="19" t="s">
        <v>98</v>
      </c>
      <c r="C8" s="19" t="s">
        <v>66</v>
      </c>
      <c r="D8" s="19" t="s">
        <v>1</v>
      </c>
      <c r="E8" s="20" t="s">
        <v>67</v>
      </c>
      <c r="F8" s="21" t="s">
        <v>110</v>
      </c>
      <c r="G8" s="21" t="s">
        <v>111</v>
      </c>
      <c r="H8" s="21" t="s">
        <v>112</v>
      </c>
      <c r="I8" s="10" t="s">
        <v>113</v>
      </c>
      <c r="J8" s="9" t="s">
        <v>68</v>
      </c>
      <c r="K8" s="9" t="s">
        <v>95</v>
      </c>
      <c r="L8" s="9">
        <v>5</v>
      </c>
      <c r="M8" s="22">
        <v>8</v>
      </c>
      <c r="N8" s="9" t="s">
        <v>108</v>
      </c>
      <c r="O8" s="9" t="s">
        <v>109</v>
      </c>
      <c r="P8" s="9"/>
      <c r="Q8" s="9"/>
      <c r="R8" s="9" t="s">
        <v>193</v>
      </c>
      <c r="S8" s="9" t="s">
        <v>96</v>
      </c>
      <c r="T8" s="9"/>
      <c r="U8" s="9"/>
      <c r="V8" s="9"/>
    </row>
    <row r="9" spans="1:22" ht="66" customHeight="1" x14ac:dyDescent="0.25">
      <c r="A9" s="19" t="s">
        <v>117</v>
      </c>
      <c r="B9" s="19" t="s">
        <v>98</v>
      </c>
      <c r="C9" s="19" t="s">
        <v>69</v>
      </c>
      <c r="D9" s="19" t="s">
        <v>378</v>
      </c>
      <c r="E9" s="20" t="s">
        <v>70</v>
      </c>
      <c r="F9" s="21" t="s">
        <v>118</v>
      </c>
      <c r="G9" s="21" t="s">
        <v>119</v>
      </c>
      <c r="H9" s="21" t="s">
        <v>120</v>
      </c>
      <c r="I9" s="10"/>
      <c r="J9" s="9" t="s">
        <v>68</v>
      </c>
      <c r="K9" s="9" t="s">
        <v>95</v>
      </c>
      <c r="L9" s="9">
        <v>5</v>
      </c>
      <c r="M9" s="22">
        <v>8</v>
      </c>
      <c r="N9" s="9" t="s">
        <v>102</v>
      </c>
      <c r="O9" s="9" t="s">
        <v>103</v>
      </c>
      <c r="P9" s="9"/>
      <c r="Q9" s="9" t="s">
        <v>262</v>
      </c>
      <c r="R9" s="9"/>
      <c r="S9" s="9" t="s">
        <v>96</v>
      </c>
      <c r="T9" s="9"/>
      <c r="U9" s="9"/>
      <c r="V9" s="9"/>
    </row>
    <row r="10" spans="1:22" ht="66" customHeight="1" x14ac:dyDescent="0.25">
      <c r="A10" s="19" t="s">
        <v>123</v>
      </c>
      <c r="B10" s="19" t="s">
        <v>98</v>
      </c>
      <c r="C10" s="19" t="s">
        <v>69</v>
      </c>
      <c r="D10" s="19" t="s">
        <v>378</v>
      </c>
      <c r="E10" s="20" t="s">
        <v>70</v>
      </c>
      <c r="F10" s="21" t="s">
        <v>124</v>
      </c>
      <c r="G10" s="21" t="s">
        <v>125</v>
      </c>
      <c r="H10" s="21" t="s">
        <v>126</v>
      </c>
      <c r="I10" s="10" t="s">
        <v>127</v>
      </c>
      <c r="J10" s="9" t="s">
        <v>68</v>
      </c>
      <c r="K10" s="9" t="s">
        <v>95</v>
      </c>
      <c r="L10" s="9">
        <v>2</v>
      </c>
      <c r="M10" s="22">
        <v>8</v>
      </c>
      <c r="N10" s="9" t="s">
        <v>105</v>
      </c>
      <c r="O10" s="9" t="s">
        <v>103</v>
      </c>
      <c r="P10" s="9" t="s">
        <v>117</v>
      </c>
      <c r="Q10" s="9"/>
      <c r="R10" s="9"/>
      <c r="S10" s="9" t="s">
        <v>96</v>
      </c>
      <c r="T10" s="9"/>
      <c r="U10" s="9"/>
      <c r="V10" s="9"/>
    </row>
    <row r="11" spans="1:22" ht="66" customHeight="1" x14ac:dyDescent="0.25">
      <c r="A11" s="19" t="s">
        <v>128</v>
      </c>
      <c r="B11" s="19" t="s">
        <v>98</v>
      </c>
      <c r="C11" s="19" t="s">
        <v>71</v>
      </c>
      <c r="D11" s="19" t="s">
        <v>0</v>
      </c>
      <c r="E11" s="20" t="s">
        <v>72</v>
      </c>
      <c r="F11" s="21" t="s">
        <v>129</v>
      </c>
      <c r="G11" s="21" t="s">
        <v>130</v>
      </c>
      <c r="H11" s="21" t="s">
        <v>131</v>
      </c>
      <c r="I11" s="10"/>
      <c r="J11" s="9" t="s">
        <v>68</v>
      </c>
      <c r="K11" s="9" t="s">
        <v>95</v>
      </c>
      <c r="L11" s="9">
        <v>5</v>
      </c>
      <c r="M11" s="22">
        <v>2</v>
      </c>
      <c r="N11" s="9" t="s">
        <v>122</v>
      </c>
      <c r="O11" s="9" t="s">
        <v>109</v>
      </c>
      <c r="P11" s="9"/>
      <c r="Q11" s="9"/>
      <c r="R11" s="9"/>
      <c r="S11" s="9" t="s">
        <v>96</v>
      </c>
      <c r="T11" s="9"/>
      <c r="U11" s="9"/>
      <c r="V11" s="9"/>
    </row>
    <row r="12" spans="1:22" ht="66" customHeight="1" x14ac:dyDescent="0.25">
      <c r="A12" s="19" t="s">
        <v>132</v>
      </c>
      <c r="B12" s="19" t="s">
        <v>98</v>
      </c>
      <c r="C12" s="19" t="s">
        <v>71</v>
      </c>
      <c r="D12" s="19" t="s">
        <v>0</v>
      </c>
      <c r="E12" s="20" t="s">
        <v>72</v>
      </c>
      <c r="F12" s="21" t="s">
        <v>133</v>
      </c>
      <c r="G12" s="21" t="s">
        <v>134</v>
      </c>
      <c r="H12" s="21" t="s">
        <v>135</v>
      </c>
      <c r="I12" s="10"/>
      <c r="J12" s="9" t="s">
        <v>68</v>
      </c>
      <c r="K12" s="9" t="s">
        <v>95</v>
      </c>
      <c r="L12" s="9">
        <v>5</v>
      </c>
      <c r="M12" s="22">
        <v>24</v>
      </c>
      <c r="N12" s="9" t="s">
        <v>122</v>
      </c>
      <c r="O12" s="9" t="s">
        <v>109</v>
      </c>
      <c r="P12" s="9" t="s">
        <v>128</v>
      </c>
      <c r="Q12" s="9" t="s">
        <v>205</v>
      </c>
      <c r="R12" s="9"/>
      <c r="S12" s="9" t="s">
        <v>96</v>
      </c>
      <c r="T12" s="9"/>
      <c r="U12" s="9"/>
      <c r="V12" s="9"/>
    </row>
    <row r="13" spans="1:22" ht="66" customHeight="1" x14ac:dyDescent="0.25">
      <c r="A13" s="19" t="s">
        <v>136</v>
      </c>
      <c r="B13" s="19" t="s">
        <v>98</v>
      </c>
      <c r="C13" s="19" t="s">
        <v>71</v>
      </c>
      <c r="D13" s="19" t="s">
        <v>0</v>
      </c>
      <c r="E13" s="20" t="s">
        <v>72</v>
      </c>
      <c r="F13" s="21" t="s">
        <v>137</v>
      </c>
      <c r="G13" s="21" t="s">
        <v>138</v>
      </c>
      <c r="H13" s="21" t="s">
        <v>139</v>
      </c>
      <c r="I13" s="10"/>
      <c r="J13" s="9" t="s">
        <v>68</v>
      </c>
      <c r="K13" s="9" t="s">
        <v>95</v>
      </c>
      <c r="L13" s="9">
        <v>5</v>
      </c>
      <c r="M13" s="22">
        <v>4</v>
      </c>
      <c r="N13" s="9" t="s">
        <v>122</v>
      </c>
      <c r="O13" s="9" t="s">
        <v>109</v>
      </c>
      <c r="P13" s="9" t="s">
        <v>128</v>
      </c>
      <c r="Q13" s="9"/>
      <c r="R13" s="9"/>
      <c r="S13" s="9" t="s">
        <v>96</v>
      </c>
      <c r="T13" s="9"/>
      <c r="U13" s="9"/>
      <c r="V13" s="9"/>
    </row>
    <row r="14" spans="1:22" ht="66" customHeight="1" x14ac:dyDescent="0.25">
      <c r="A14" s="19" t="s">
        <v>140</v>
      </c>
      <c r="B14" s="19" t="s">
        <v>98</v>
      </c>
      <c r="C14" s="19" t="s">
        <v>73</v>
      </c>
      <c r="D14" s="19" t="s">
        <v>378</v>
      </c>
      <c r="E14" s="20" t="s">
        <v>74</v>
      </c>
      <c r="F14" s="21" t="s">
        <v>141</v>
      </c>
      <c r="G14" s="21" t="s">
        <v>142</v>
      </c>
      <c r="H14" s="21" t="s">
        <v>143</v>
      </c>
      <c r="I14" s="10"/>
      <c r="J14" s="9" t="s">
        <v>144</v>
      </c>
      <c r="K14" s="9" t="s">
        <v>95</v>
      </c>
      <c r="L14" s="9">
        <v>5</v>
      </c>
      <c r="M14" s="22">
        <v>4</v>
      </c>
      <c r="N14" s="9" t="s">
        <v>105</v>
      </c>
      <c r="O14" s="9" t="s">
        <v>109</v>
      </c>
      <c r="P14" s="9"/>
      <c r="Q14" s="9"/>
      <c r="R14" s="9"/>
      <c r="S14" s="9" t="s">
        <v>96</v>
      </c>
      <c r="T14" s="9"/>
      <c r="U14" s="9"/>
      <c r="V14" s="9"/>
    </row>
    <row r="15" spans="1:22" ht="66" customHeight="1" x14ac:dyDescent="0.25">
      <c r="A15" s="19" t="s">
        <v>145</v>
      </c>
      <c r="B15" s="19" t="s">
        <v>98</v>
      </c>
      <c r="C15" s="19" t="s">
        <v>73</v>
      </c>
      <c r="D15" s="19" t="s">
        <v>0</v>
      </c>
      <c r="E15" s="20" t="s">
        <v>74</v>
      </c>
      <c r="F15" s="21" t="s">
        <v>147</v>
      </c>
      <c r="G15" s="21" t="s">
        <v>148</v>
      </c>
      <c r="H15" s="21" t="s">
        <v>149</v>
      </c>
      <c r="I15" s="10"/>
      <c r="J15" s="9" t="s">
        <v>77</v>
      </c>
      <c r="K15" s="9" t="s">
        <v>95</v>
      </c>
      <c r="L15" s="9">
        <v>8</v>
      </c>
      <c r="M15" s="22">
        <v>8</v>
      </c>
      <c r="N15" s="9" t="s">
        <v>122</v>
      </c>
      <c r="O15" s="9" t="s">
        <v>109</v>
      </c>
      <c r="P15" s="9" t="s">
        <v>150</v>
      </c>
      <c r="Q15" s="9"/>
      <c r="R15" s="9"/>
      <c r="S15" s="9" t="s">
        <v>96</v>
      </c>
      <c r="T15" s="9"/>
      <c r="U15" s="9"/>
      <c r="V15" s="9"/>
    </row>
    <row r="16" spans="1:22" ht="66" customHeight="1" x14ac:dyDescent="0.25">
      <c r="A16" s="19" t="s">
        <v>146</v>
      </c>
      <c r="B16" s="19" t="s">
        <v>98</v>
      </c>
      <c r="C16" s="19" t="s">
        <v>73</v>
      </c>
      <c r="D16" s="19" t="s">
        <v>116</v>
      </c>
      <c r="E16" s="20" t="s">
        <v>74</v>
      </c>
      <c r="F16" s="21" t="s">
        <v>379</v>
      </c>
      <c r="G16" s="21"/>
      <c r="H16" s="21"/>
      <c r="I16" s="10"/>
      <c r="J16" s="9"/>
      <c r="K16" s="9"/>
      <c r="L16" s="9"/>
      <c r="M16" s="22">
        <v>32</v>
      </c>
      <c r="N16" s="9"/>
      <c r="O16" s="9"/>
      <c r="P16" s="9"/>
      <c r="Q16" s="9"/>
      <c r="R16" s="9"/>
      <c r="S16" s="9" t="s">
        <v>96</v>
      </c>
      <c r="T16" s="8"/>
      <c r="U16" s="8"/>
      <c r="V16" s="8"/>
    </row>
    <row r="17" spans="1:22" ht="66" customHeight="1" x14ac:dyDescent="0.25">
      <c r="A17" s="19" t="s">
        <v>150</v>
      </c>
      <c r="B17" s="19" t="s">
        <v>98</v>
      </c>
      <c r="C17" s="19" t="s">
        <v>75</v>
      </c>
      <c r="D17" s="19" t="s">
        <v>378</v>
      </c>
      <c r="E17" s="20" t="s">
        <v>76</v>
      </c>
      <c r="F17" s="21" t="s">
        <v>151</v>
      </c>
      <c r="G17" s="21" t="s">
        <v>152</v>
      </c>
      <c r="H17" s="21" t="s">
        <v>153</v>
      </c>
      <c r="I17" s="10"/>
      <c r="J17" s="9" t="s">
        <v>77</v>
      </c>
      <c r="K17" s="9" t="s">
        <v>95</v>
      </c>
      <c r="L17" s="9">
        <v>5</v>
      </c>
      <c r="M17" s="22"/>
      <c r="N17" s="9" t="s">
        <v>105</v>
      </c>
      <c r="O17" s="9" t="s">
        <v>109</v>
      </c>
      <c r="P17" s="9" t="s">
        <v>160</v>
      </c>
      <c r="Q17" s="9" t="s">
        <v>383</v>
      </c>
      <c r="R17" s="9"/>
      <c r="S17" s="9" t="s">
        <v>96</v>
      </c>
      <c r="T17" s="9"/>
      <c r="U17" s="9"/>
      <c r="V17" s="9"/>
    </row>
    <row r="18" spans="1:22" ht="66" customHeight="1" x14ac:dyDescent="0.25">
      <c r="A18" s="19" t="s">
        <v>155</v>
      </c>
      <c r="B18" s="19" t="s">
        <v>98</v>
      </c>
      <c r="C18" s="19" t="s">
        <v>75</v>
      </c>
      <c r="D18" s="19" t="s">
        <v>378</v>
      </c>
      <c r="E18" s="20" t="s">
        <v>76</v>
      </c>
      <c r="F18" s="21" t="s">
        <v>156</v>
      </c>
      <c r="G18" s="21" t="s">
        <v>157</v>
      </c>
      <c r="H18" s="21" t="s">
        <v>158</v>
      </c>
      <c r="I18" s="10"/>
      <c r="J18" s="9" t="s">
        <v>77</v>
      </c>
      <c r="K18" s="9" t="s">
        <v>95</v>
      </c>
      <c r="L18" s="9">
        <v>3</v>
      </c>
      <c r="M18" s="22">
        <v>12</v>
      </c>
      <c r="N18" s="9" t="s">
        <v>105</v>
      </c>
      <c r="O18" s="9" t="s">
        <v>103</v>
      </c>
      <c r="P18" s="9" t="s">
        <v>150</v>
      </c>
      <c r="Q18" s="9" t="s">
        <v>240</v>
      </c>
      <c r="R18" s="9"/>
      <c r="S18" s="9" t="s">
        <v>96</v>
      </c>
      <c r="T18" s="9"/>
      <c r="U18" s="9"/>
      <c r="V18" s="9"/>
    </row>
    <row r="19" spans="1:22" ht="66" customHeight="1" x14ac:dyDescent="0.25">
      <c r="A19" s="19" t="s">
        <v>160</v>
      </c>
      <c r="B19" s="19" t="s">
        <v>98</v>
      </c>
      <c r="C19" s="19" t="s">
        <v>78</v>
      </c>
      <c r="D19" s="19" t="s">
        <v>378</v>
      </c>
      <c r="E19" s="20" t="s">
        <v>79</v>
      </c>
      <c r="F19" s="21" t="s">
        <v>162</v>
      </c>
      <c r="G19" s="21" t="s">
        <v>163</v>
      </c>
      <c r="H19" s="21" t="s">
        <v>164</v>
      </c>
      <c r="I19" s="10"/>
      <c r="J19" s="9" t="s">
        <v>68</v>
      </c>
      <c r="K19" s="9" t="s">
        <v>95</v>
      </c>
      <c r="L19" s="9">
        <v>5</v>
      </c>
      <c r="M19" s="22">
        <v>4</v>
      </c>
      <c r="N19" s="9" t="s">
        <v>106</v>
      </c>
      <c r="O19" s="9" t="s">
        <v>109</v>
      </c>
      <c r="P19" s="9"/>
      <c r="Q19" s="9" t="s">
        <v>189</v>
      </c>
      <c r="R19" s="9"/>
      <c r="S19" s="9" t="s">
        <v>96</v>
      </c>
      <c r="T19" s="9"/>
      <c r="U19" s="9"/>
      <c r="V19" s="9"/>
    </row>
    <row r="20" spans="1:22" ht="66" customHeight="1" x14ac:dyDescent="0.25">
      <c r="A20" s="19" t="s">
        <v>154</v>
      </c>
      <c r="B20" s="19" t="s">
        <v>98</v>
      </c>
      <c r="C20" s="19" t="s">
        <v>78</v>
      </c>
      <c r="D20" s="19" t="s">
        <v>378</v>
      </c>
      <c r="E20" s="20" t="s">
        <v>79</v>
      </c>
      <c r="F20" s="21" t="s">
        <v>166</v>
      </c>
      <c r="G20" s="21" t="s">
        <v>167</v>
      </c>
      <c r="H20" s="21" t="s">
        <v>168</v>
      </c>
      <c r="I20" s="10"/>
      <c r="J20" s="9" t="s">
        <v>68</v>
      </c>
      <c r="K20" s="9" t="s">
        <v>169</v>
      </c>
      <c r="L20" s="9">
        <v>3</v>
      </c>
      <c r="M20" s="22">
        <v>4</v>
      </c>
      <c r="N20" s="9" t="s">
        <v>106</v>
      </c>
      <c r="O20" s="9" t="s">
        <v>109</v>
      </c>
      <c r="P20" s="9" t="s">
        <v>160</v>
      </c>
      <c r="Q20" s="9" t="s">
        <v>189</v>
      </c>
      <c r="R20" s="9" t="s">
        <v>197</v>
      </c>
      <c r="S20" s="9" t="s">
        <v>96</v>
      </c>
      <c r="T20" s="9"/>
      <c r="U20" s="9"/>
      <c r="V20" s="9"/>
    </row>
    <row r="21" spans="1:22" ht="66" customHeight="1" x14ac:dyDescent="0.25">
      <c r="A21" s="19" t="s">
        <v>171</v>
      </c>
      <c r="B21" s="19" t="s">
        <v>98</v>
      </c>
      <c r="C21" s="19" t="s">
        <v>80</v>
      </c>
      <c r="D21" s="19" t="s">
        <v>378</v>
      </c>
      <c r="E21" s="20" t="s">
        <v>81</v>
      </c>
      <c r="F21" s="21" t="s">
        <v>172</v>
      </c>
      <c r="G21" s="21" t="s">
        <v>173</v>
      </c>
      <c r="H21" s="21" t="s">
        <v>174</v>
      </c>
      <c r="I21" s="10"/>
      <c r="J21" s="9" t="s">
        <v>68</v>
      </c>
      <c r="K21" s="9" t="s">
        <v>95</v>
      </c>
      <c r="L21" s="9">
        <v>5</v>
      </c>
      <c r="M21" s="22">
        <v>16</v>
      </c>
      <c r="N21" s="9" t="s">
        <v>105</v>
      </c>
      <c r="O21" s="9" t="s">
        <v>109</v>
      </c>
      <c r="P21" s="9" t="s">
        <v>136</v>
      </c>
      <c r="Q21" s="9"/>
      <c r="R21" s="9"/>
      <c r="S21" s="9" t="s">
        <v>96</v>
      </c>
      <c r="T21" s="9"/>
      <c r="U21" s="9"/>
      <c r="V21" s="9"/>
    </row>
    <row r="22" spans="1:22" ht="66" customHeight="1" x14ac:dyDescent="0.25">
      <c r="A22" s="19" t="s">
        <v>175</v>
      </c>
      <c r="B22" s="19" t="s">
        <v>98</v>
      </c>
      <c r="C22" s="19" t="s">
        <v>82</v>
      </c>
      <c r="D22" s="19" t="s">
        <v>1</v>
      </c>
      <c r="E22" s="20" t="s">
        <v>83</v>
      </c>
      <c r="F22" s="21" t="s">
        <v>176</v>
      </c>
      <c r="G22" s="21" t="s">
        <v>177</v>
      </c>
      <c r="H22" s="21" t="s">
        <v>178</v>
      </c>
      <c r="I22" s="10"/>
      <c r="J22" s="9" t="s">
        <v>179</v>
      </c>
      <c r="K22" s="9" t="s">
        <v>95</v>
      </c>
      <c r="L22" s="9">
        <v>8</v>
      </c>
      <c r="M22" s="22">
        <v>48</v>
      </c>
      <c r="N22" s="9" t="s">
        <v>108</v>
      </c>
      <c r="O22" s="9" t="s">
        <v>109</v>
      </c>
      <c r="P22" s="9"/>
      <c r="Q22" s="9"/>
      <c r="R22" s="9"/>
      <c r="S22" s="9" t="s">
        <v>96</v>
      </c>
      <c r="T22" s="9"/>
      <c r="U22" s="9"/>
      <c r="V22" s="9"/>
    </row>
    <row r="23" spans="1:22" ht="66" customHeight="1" x14ac:dyDescent="0.25">
      <c r="A23" s="19" t="s">
        <v>180</v>
      </c>
      <c r="B23" s="19" t="s">
        <v>98</v>
      </c>
      <c r="C23" s="19" t="s">
        <v>84</v>
      </c>
      <c r="D23" s="19" t="s">
        <v>2</v>
      </c>
      <c r="E23" s="20" t="s">
        <v>85</v>
      </c>
      <c r="F23" s="21" t="s">
        <v>181</v>
      </c>
      <c r="G23" s="21" t="s">
        <v>182</v>
      </c>
      <c r="H23" s="21" t="s">
        <v>183</v>
      </c>
      <c r="I23" s="10" t="s">
        <v>61</v>
      </c>
      <c r="J23" s="9" t="s">
        <v>68</v>
      </c>
      <c r="K23" s="9" t="s">
        <v>95</v>
      </c>
      <c r="L23" s="9">
        <v>3</v>
      </c>
      <c r="M23" s="22">
        <v>6</v>
      </c>
      <c r="N23" s="9" t="s">
        <v>62</v>
      </c>
      <c r="O23" s="9" t="s">
        <v>103</v>
      </c>
      <c r="P23" s="9" t="s">
        <v>97</v>
      </c>
      <c r="Q23" s="9"/>
      <c r="R23" s="9"/>
      <c r="S23" s="9" t="s">
        <v>96</v>
      </c>
      <c r="T23" s="9"/>
      <c r="U23" s="9"/>
      <c r="V23" s="9"/>
    </row>
    <row r="26" spans="1:22" ht="15" customHeight="1" x14ac:dyDescent="0.25"/>
    <row r="27" spans="1:22" ht="15" customHeight="1" x14ac:dyDescent="0.25"/>
    <row r="28" spans="1:22" ht="15" customHeight="1" x14ac:dyDescent="0.25"/>
    <row r="29" spans="1:22" ht="15" customHeight="1" x14ac:dyDescent="0.25"/>
    <row r="30" spans="1:22" ht="15" customHeight="1" x14ac:dyDescent="0.25"/>
    <row r="31" spans="1:22" ht="15" customHeight="1" x14ac:dyDescent="0.25"/>
    <row r="32" spans="1:22" ht="15" customHeight="1" x14ac:dyDescent="0.25"/>
    <row r="33" ht="15" customHeight="1" x14ac:dyDescent="0.25"/>
    <row r="34" ht="15" customHeight="1" x14ac:dyDescent="0.25"/>
    <row r="35" ht="15" customHeight="1" x14ac:dyDescent="0.25"/>
    <row r="36" ht="15" customHeight="1" x14ac:dyDescent="0.25"/>
    <row r="37" ht="15" customHeight="1" x14ac:dyDescent="0.25"/>
  </sheetData>
  <autoFilter ref="A6:V23" xr:uid="{00000000-0009-0000-0000-000003000000}"/>
  <mergeCells count="1">
    <mergeCell ref="A4:V4"/>
  </mergeCells>
  <conditionalFormatting sqref="K7:K23">
    <cfRule type="cellIs" dxfId="21" priority="6" operator="equal">
      <formula>"P1 Event critical"</formula>
    </cfRule>
  </conditionalFormatting>
  <conditionalFormatting sqref="O7:O23">
    <cfRule type="cellIs" dxfId="20" priority="7" operator="equal">
      <formula>"Above the line"</formula>
    </cfRule>
    <cfRule type="cellIs" dxfId="19" priority="8" operator="equal">
      <formula>"In plan"</formula>
    </cfRule>
  </conditionalFormatting>
  <conditionalFormatting sqref="Q7:Q23">
    <cfRule type="expression" dxfId="18" priority="5">
      <formula>AND($Q7&lt;&gt;"",$B7&lt;&gt;"Epic")</formula>
    </cfRule>
  </conditionalFormatting>
  <conditionalFormatting sqref="S7:S23">
    <cfRule type="cellIs" dxfId="17" priority="1" operator="equal">
      <formula>"Approved"</formula>
    </cfRule>
    <cfRule type="cellIs" dxfId="16" priority="2" operator="equal">
      <formula>"Approved with changes"</formula>
    </cfRule>
    <cfRule type="cellIs" dxfId="15" priority="3" operator="equal">
      <formula>"Rejected"</formula>
    </cfRule>
    <cfRule type="cellIs" dxfId="14" priority="4" operator="equal">
      <formula>"Needs discussion"</formula>
    </cfRule>
  </conditionalFormatting>
  <dataValidations count="3">
    <dataValidation type="list" allowBlank="1" sqref="D17:D23 D7:D15" xr:uid="{00000000-0002-0000-0300-000001000000}">
      <formula1>"Frontend,Backend &amp; AI,Data,Quality Assurance,All"</formula1>
    </dataValidation>
    <dataValidation type="list" sqref="S7:S23" xr:uid="{00000000-0002-0000-0300-000000000000}">
      <formula1>"Not reviewed,Approved,Approved with changes,Rejected,Needs discussion"</formula1>
    </dataValidation>
    <dataValidation type="list" allowBlank="1" sqref="K7:K23" xr:uid="{00000000-0002-0000-0300-000002000000}">
      <formula1>"P1 Event critical,P2 Important,P3 Nice to have"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
  <sheetViews>
    <sheetView zoomScale="106" zoomScaleNormal="167" workbookViewId="0">
      <pane xSplit="2" ySplit="1" topLeftCell="C23" activePane="bottomRight" state="frozen"/>
      <selection pane="topRight"/>
      <selection pane="bottomLeft"/>
      <selection pane="bottomRight" activeCell="A22" sqref="A22"/>
    </sheetView>
  </sheetViews>
  <sheetFormatPr defaultColWidth="8.85546875" defaultRowHeight="15" x14ac:dyDescent="0.25"/>
  <cols>
    <col min="1" max="1" width="10" customWidth="1"/>
    <col min="2" max="2" width="16" customWidth="1"/>
    <col min="3" max="3" width="62" customWidth="1"/>
    <col min="4" max="4" width="14" customWidth="1"/>
    <col min="5" max="5" width="10" customWidth="1"/>
    <col min="6" max="6" width="13" customWidth="1"/>
    <col min="7" max="7" width="62" customWidth="1"/>
    <col min="8" max="8" width="74" customWidth="1"/>
    <col min="9" max="9" width="16" customWidth="1"/>
    <col min="10" max="10" width="13" customWidth="1"/>
    <col min="11" max="11" width="46" customWidth="1"/>
  </cols>
  <sheetData>
    <row r="1" spans="1:11" ht="30" customHeight="1" x14ac:dyDescent="0.25">
      <c r="A1" s="4" t="s">
        <v>3</v>
      </c>
      <c r="B1" s="4" t="s">
        <v>206</v>
      </c>
      <c r="C1" s="4" t="s">
        <v>207</v>
      </c>
      <c r="D1" s="4" t="s">
        <v>208</v>
      </c>
      <c r="E1" s="4" t="s">
        <v>8</v>
      </c>
      <c r="F1" s="4" t="s">
        <v>209</v>
      </c>
      <c r="G1" s="4" t="s">
        <v>210</v>
      </c>
      <c r="H1" s="4" t="s">
        <v>211</v>
      </c>
      <c r="I1" s="4" t="s">
        <v>212</v>
      </c>
      <c r="J1" s="4" t="s">
        <v>213</v>
      </c>
      <c r="K1" s="4" t="s">
        <v>214</v>
      </c>
    </row>
    <row r="2" spans="1:11" ht="57.95" customHeight="1" x14ac:dyDescent="0.25">
      <c r="A2" s="5" t="s">
        <v>215</v>
      </c>
      <c r="B2" s="6" t="s">
        <v>216</v>
      </c>
      <c r="C2" s="6" t="s">
        <v>217</v>
      </c>
      <c r="D2" s="6" t="s">
        <v>218</v>
      </c>
      <c r="E2" s="6" t="s">
        <v>219</v>
      </c>
      <c r="F2" s="6" t="s">
        <v>220</v>
      </c>
      <c r="G2" s="6" t="s">
        <v>221</v>
      </c>
      <c r="H2" s="6" t="s">
        <v>222</v>
      </c>
      <c r="I2" s="6" t="s">
        <v>223</v>
      </c>
      <c r="J2" s="6"/>
      <c r="K2" s="6"/>
    </row>
    <row r="3" spans="1:11" ht="57.95" customHeight="1" x14ac:dyDescent="0.25">
      <c r="A3" s="5" t="s">
        <v>224</v>
      </c>
      <c r="B3" s="6" t="s">
        <v>225</v>
      </c>
      <c r="C3" s="6" t="s">
        <v>226</v>
      </c>
      <c r="D3" s="6" t="s">
        <v>218</v>
      </c>
      <c r="E3" s="6" t="s">
        <v>219</v>
      </c>
      <c r="F3" s="6" t="s">
        <v>220</v>
      </c>
      <c r="G3" s="6" t="s">
        <v>227</v>
      </c>
      <c r="H3" s="6" t="s">
        <v>228</v>
      </c>
      <c r="I3" s="6" t="s">
        <v>223</v>
      </c>
      <c r="J3" s="6"/>
      <c r="K3" s="6"/>
    </row>
    <row r="4" spans="1:11" ht="57.95" customHeight="1" x14ac:dyDescent="0.25">
      <c r="A4" s="5" t="s">
        <v>161</v>
      </c>
      <c r="B4" s="6" t="s">
        <v>225</v>
      </c>
      <c r="C4" s="6" t="s">
        <v>229</v>
      </c>
      <c r="D4" s="6" t="s">
        <v>218</v>
      </c>
      <c r="E4" s="6" t="s">
        <v>219</v>
      </c>
      <c r="F4" s="6" t="s">
        <v>220</v>
      </c>
      <c r="G4" s="6" t="s">
        <v>230</v>
      </c>
      <c r="H4" s="6" t="s">
        <v>231</v>
      </c>
      <c r="I4" s="6" t="s">
        <v>223</v>
      </c>
      <c r="J4" s="6"/>
      <c r="K4" s="6"/>
    </row>
    <row r="5" spans="1:11" ht="57.95" customHeight="1" x14ac:dyDescent="0.25">
      <c r="A5" s="5" t="s">
        <v>191</v>
      </c>
      <c r="B5" s="6" t="s">
        <v>225</v>
      </c>
      <c r="C5" s="6" t="s">
        <v>233</v>
      </c>
      <c r="D5" s="6" t="s">
        <v>218</v>
      </c>
      <c r="E5" s="6" t="s">
        <v>219</v>
      </c>
      <c r="F5" s="6" t="s">
        <v>220</v>
      </c>
      <c r="G5" s="6" t="s">
        <v>234</v>
      </c>
      <c r="H5" s="6" t="s">
        <v>235</v>
      </c>
      <c r="I5" s="6" t="s">
        <v>223</v>
      </c>
      <c r="J5" s="6"/>
      <c r="K5" s="6"/>
    </row>
    <row r="6" spans="1:11" ht="57.95" customHeight="1" x14ac:dyDescent="0.25">
      <c r="A6" s="5" t="s">
        <v>121</v>
      </c>
      <c r="B6" s="6" t="s">
        <v>225</v>
      </c>
      <c r="C6" s="6" t="s">
        <v>377</v>
      </c>
      <c r="D6" s="6" t="s">
        <v>218</v>
      </c>
      <c r="E6" s="6" t="s">
        <v>219</v>
      </c>
      <c r="F6" s="6" t="s">
        <v>220</v>
      </c>
      <c r="G6" s="6" t="s">
        <v>242</v>
      </c>
      <c r="H6" s="6" t="s">
        <v>243</v>
      </c>
      <c r="I6" s="6" t="s">
        <v>223</v>
      </c>
      <c r="J6" s="6"/>
      <c r="K6" s="6"/>
    </row>
    <row r="7" spans="1:11" ht="57.95" customHeight="1" x14ac:dyDescent="0.25">
      <c r="A7" s="5" t="s">
        <v>232</v>
      </c>
      <c r="B7" s="6" t="s">
        <v>244</v>
      </c>
      <c r="C7" s="6" t="s">
        <v>245</v>
      </c>
      <c r="D7" s="6" t="s">
        <v>241</v>
      </c>
      <c r="E7" s="6" t="s">
        <v>219</v>
      </c>
      <c r="F7" s="6" t="s">
        <v>220</v>
      </c>
      <c r="G7" s="6" t="s">
        <v>246</v>
      </c>
      <c r="H7" s="6" t="s">
        <v>247</v>
      </c>
      <c r="I7" s="6" t="s">
        <v>223</v>
      </c>
      <c r="J7" s="6"/>
      <c r="K7" s="6"/>
    </row>
    <row r="8" spans="1:11" ht="57.95" customHeight="1" x14ac:dyDescent="0.25">
      <c r="A8" s="5" t="s">
        <v>165</v>
      </c>
      <c r="B8" s="6" t="s">
        <v>244</v>
      </c>
      <c r="C8" s="6" t="s">
        <v>248</v>
      </c>
      <c r="D8" s="6" t="s">
        <v>241</v>
      </c>
      <c r="E8" s="6" t="s">
        <v>219</v>
      </c>
      <c r="F8" s="6" t="s">
        <v>220</v>
      </c>
      <c r="G8" s="6" t="s">
        <v>249</v>
      </c>
      <c r="H8" s="6" t="s">
        <v>250</v>
      </c>
      <c r="I8" s="6" t="s">
        <v>223</v>
      </c>
      <c r="J8" s="6"/>
      <c r="K8" s="6"/>
    </row>
    <row r="9" spans="1:11" ht="57.95" customHeight="1" x14ac:dyDescent="0.25">
      <c r="A9" s="5" t="s">
        <v>262</v>
      </c>
      <c r="B9" s="6" t="s">
        <v>225</v>
      </c>
      <c r="C9" s="6" t="s">
        <v>251</v>
      </c>
      <c r="D9" s="6" t="s">
        <v>218</v>
      </c>
      <c r="E9" s="6" t="s">
        <v>219</v>
      </c>
      <c r="F9" s="6" t="s">
        <v>252</v>
      </c>
      <c r="G9" s="6" t="s">
        <v>253</v>
      </c>
      <c r="H9" s="6" t="s">
        <v>254</v>
      </c>
      <c r="I9" s="6" t="s">
        <v>223</v>
      </c>
      <c r="J9" s="6"/>
      <c r="K9" s="6"/>
    </row>
    <row r="10" spans="1:11" ht="57.95" customHeight="1" x14ac:dyDescent="0.25">
      <c r="A10" s="5" t="s">
        <v>189</v>
      </c>
      <c r="B10" s="6" t="s">
        <v>225</v>
      </c>
      <c r="C10" s="6" t="s">
        <v>255</v>
      </c>
      <c r="D10" s="6" t="s">
        <v>218</v>
      </c>
      <c r="E10" s="6" t="s">
        <v>219</v>
      </c>
      <c r="F10" s="6" t="s">
        <v>252</v>
      </c>
      <c r="G10" s="6" t="s">
        <v>256</v>
      </c>
      <c r="H10" s="6" t="s">
        <v>257</v>
      </c>
      <c r="I10" s="6" t="s">
        <v>223</v>
      </c>
      <c r="J10" s="6"/>
      <c r="K10" s="6"/>
    </row>
    <row r="11" spans="1:11" ht="57.95" customHeight="1" x14ac:dyDescent="0.25">
      <c r="A11" s="5" t="s">
        <v>192</v>
      </c>
      <c r="B11" s="6" t="s">
        <v>225</v>
      </c>
      <c r="C11" s="6" t="s">
        <v>259</v>
      </c>
      <c r="D11" s="6" t="s">
        <v>218</v>
      </c>
      <c r="E11" s="6" t="s">
        <v>219</v>
      </c>
      <c r="F11" s="6" t="s">
        <v>252</v>
      </c>
      <c r="G11" s="6" t="s">
        <v>260</v>
      </c>
      <c r="H11" s="6" t="s">
        <v>261</v>
      </c>
      <c r="I11" s="6" t="s">
        <v>223</v>
      </c>
      <c r="J11" s="6"/>
      <c r="K11" s="6"/>
    </row>
    <row r="12" spans="1:11" ht="57.95" customHeight="1" x14ac:dyDescent="0.25">
      <c r="A12" s="5" t="s">
        <v>185</v>
      </c>
      <c r="B12" s="6" t="s">
        <v>225</v>
      </c>
      <c r="C12" s="6" t="s">
        <v>263</v>
      </c>
      <c r="D12" s="6" t="s">
        <v>218</v>
      </c>
      <c r="E12" s="6" t="s">
        <v>219</v>
      </c>
      <c r="F12" s="6" t="s">
        <v>264</v>
      </c>
      <c r="G12" s="6" t="s">
        <v>265</v>
      </c>
      <c r="H12" s="6" t="s">
        <v>266</v>
      </c>
      <c r="I12" s="6" t="s">
        <v>223</v>
      </c>
      <c r="J12" s="6"/>
      <c r="K12" s="6"/>
    </row>
    <row r="13" spans="1:11" ht="57.95" customHeight="1" x14ac:dyDescent="0.25">
      <c r="A13" s="5" t="s">
        <v>236</v>
      </c>
      <c r="B13" s="6" t="s">
        <v>258</v>
      </c>
      <c r="C13" s="6" t="s">
        <v>267</v>
      </c>
      <c r="D13" s="6" t="s">
        <v>218</v>
      </c>
      <c r="E13" s="6" t="s">
        <v>219</v>
      </c>
      <c r="F13" s="6" t="s">
        <v>264</v>
      </c>
      <c r="G13" s="6" t="s">
        <v>268</v>
      </c>
      <c r="H13" s="6" t="s">
        <v>269</v>
      </c>
      <c r="I13" s="6" t="s">
        <v>223</v>
      </c>
      <c r="J13" s="6"/>
      <c r="K13" s="6"/>
    </row>
    <row r="14" spans="1:11" ht="57.95" customHeight="1" x14ac:dyDescent="0.25">
      <c r="A14" s="5" t="s">
        <v>114</v>
      </c>
      <c r="B14" s="6" t="s">
        <v>239</v>
      </c>
      <c r="C14" s="6" t="s">
        <v>270</v>
      </c>
      <c r="D14" s="6" t="s">
        <v>218</v>
      </c>
      <c r="E14" s="6" t="s">
        <v>219</v>
      </c>
      <c r="F14" s="6" t="s">
        <v>26</v>
      </c>
      <c r="G14" s="6" t="s">
        <v>271</v>
      </c>
      <c r="H14" s="6" t="s">
        <v>272</v>
      </c>
      <c r="I14" s="6" t="s">
        <v>223</v>
      </c>
      <c r="J14" s="6"/>
      <c r="K14" s="6"/>
    </row>
    <row r="15" spans="1:11" ht="57.95" customHeight="1" x14ac:dyDescent="0.25">
      <c r="A15" s="5" t="s">
        <v>304</v>
      </c>
      <c r="B15" s="6" t="s">
        <v>216</v>
      </c>
      <c r="C15" s="6" t="s">
        <v>385</v>
      </c>
      <c r="D15" s="6" t="s">
        <v>237</v>
      </c>
      <c r="E15" s="6" t="s">
        <v>273</v>
      </c>
      <c r="F15" s="6" t="s">
        <v>264</v>
      </c>
      <c r="G15" s="6" t="s">
        <v>274</v>
      </c>
      <c r="H15" s="6" t="s">
        <v>275</v>
      </c>
      <c r="I15" s="6" t="s">
        <v>223</v>
      </c>
      <c r="J15" s="6"/>
      <c r="K15" s="6"/>
    </row>
    <row r="16" spans="1:11" ht="57.95" customHeight="1" x14ac:dyDescent="0.25">
      <c r="A16" s="5" t="s">
        <v>199</v>
      </c>
      <c r="B16" s="6" t="s">
        <v>258</v>
      </c>
      <c r="C16" s="6" t="s">
        <v>276</v>
      </c>
      <c r="D16" s="6" t="s">
        <v>218</v>
      </c>
      <c r="E16" s="6" t="s">
        <v>273</v>
      </c>
      <c r="F16" s="6" t="s">
        <v>264</v>
      </c>
      <c r="G16" s="6" t="s">
        <v>277</v>
      </c>
      <c r="H16" s="6" t="s">
        <v>278</v>
      </c>
      <c r="I16" s="6" t="s">
        <v>223</v>
      </c>
      <c r="J16" s="6"/>
      <c r="K16" s="6"/>
    </row>
    <row r="17" spans="1:11" ht="57.95" customHeight="1" x14ac:dyDescent="0.25">
      <c r="A17" s="5" t="s">
        <v>201</v>
      </c>
      <c r="B17" s="6" t="s">
        <v>225</v>
      </c>
      <c r="C17" s="6" t="s">
        <v>279</v>
      </c>
      <c r="D17" s="6" t="s">
        <v>218</v>
      </c>
      <c r="E17" s="6" t="s">
        <v>273</v>
      </c>
      <c r="F17" s="6" t="s">
        <v>26</v>
      </c>
      <c r="G17" s="6" t="s">
        <v>280</v>
      </c>
      <c r="H17" s="6" t="s">
        <v>281</v>
      </c>
      <c r="I17" s="6" t="s">
        <v>223</v>
      </c>
      <c r="J17" s="6"/>
      <c r="K17" s="6"/>
    </row>
    <row r="18" spans="1:11" ht="57.95" customHeight="1" x14ac:dyDescent="0.25">
      <c r="A18" s="5" t="s">
        <v>203</v>
      </c>
      <c r="B18" s="6" t="s">
        <v>225</v>
      </c>
      <c r="C18" s="6" t="s">
        <v>282</v>
      </c>
      <c r="D18" s="6" t="s">
        <v>283</v>
      </c>
      <c r="E18" s="6" t="s">
        <v>273</v>
      </c>
      <c r="F18" s="6" t="s">
        <v>26</v>
      </c>
      <c r="G18" s="6" t="s">
        <v>284</v>
      </c>
      <c r="H18" s="6" t="s">
        <v>285</v>
      </c>
      <c r="I18" s="6" t="s">
        <v>223</v>
      </c>
      <c r="J18" s="6"/>
      <c r="K18" s="6"/>
    </row>
    <row r="19" spans="1:11" ht="57.95" customHeight="1" x14ac:dyDescent="0.25">
      <c r="A19" s="5" t="s">
        <v>238</v>
      </c>
      <c r="B19" s="6" t="s">
        <v>225</v>
      </c>
      <c r="C19" s="6" t="s">
        <v>286</v>
      </c>
      <c r="D19" s="6" t="s">
        <v>218</v>
      </c>
      <c r="E19" s="6" t="s">
        <v>273</v>
      </c>
      <c r="F19" s="6" t="s">
        <v>26</v>
      </c>
      <c r="G19" s="6" t="s">
        <v>287</v>
      </c>
      <c r="H19" s="6" t="s">
        <v>288</v>
      </c>
      <c r="I19" s="6" t="s">
        <v>223</v>
      </c>
      <c r="J19" s="6"/>
      <c r="K19" s="6"/>
    </row>
    <row r="20" spans="1:11" ht="57.95" customHeight="1" x14ac:dyDescent="0.25">
      <c r="A20" s="5" t="s">
        <v>195</v>
      </c>
      <c r="B20" s="6" t="s">
        <v>239</v>
      </c>
      <c r="C20" s="6" t="s">
        <v>289</v>
      </c>
      <c r="D20" s="6" t="s">
        <v>218</v>
      </c>
      <c r="E20" s="6" t="s">
        <v>273</v>
      </c>
      <c r="F20" s="6" t="s">
        <v>26</v>
      </c>
      <c r="G20" s="6" t="s">
        <v>290</v>
      </c>
      <c r="H20" s="6" t="s">
        <v>291</v>
      </c>
      <c r="I20" s="6" t="s">
        <v>223</v>
      </c>
      <c r="J20" s="6"/>
      <c r="K20" s="6"/>
    </row>
    <row r="21" spans="1:11" ht="57.95" customHeight="1" x14ac:dyDescent="0.25">
      <c r="A21" s="5" t="s">
        <v>240</v>
      </c>
      <c r="B21" s="6" t="s">
        <v>258</v>
      </c>
      <c r="C21" s="6" t="s">
        <v>294</v>
      </c>
      <c r="D21" s="6" t="s">
        <v>218</v>
      </c>
      <c r="E21" s="6" t="s">
        <v>273</v>
      </c>
      <c r="F21" s="6" t="s">
        <v>293</v>
      </c>
      <c r="G21" s="6" t="s">
        <v>295</v>
      </c>
      <c r="H21" s="6" t="s">
        <v>296</v>
      </c>
      <c r="I21" s="6" t="s">
        <v>223</v>
      </c>
      <c r="J21" s="6"/>
      <c r="K21" s="6"/>
    </row>
    <row r="22" spans="1:11" ht="57.95" customHeight="1" x14ac:dyDescent="0.25">
      <c r="A22" s="5" t="s">
        <v>317</v>
      </c>
      <c r="B22" s="6" t="s">
        <v>258</v>
      </c>
      <c r="C22" s="6" t="s">
        <v>298</v>
      </c>
      <c r="D22" s="6" t="s">
        <v>218</v>
      </c>
      <c r="E22" s="6" t="s">
        <v>273</v>
      </c>
      <c r="F22" s="6" t="s">
        <v>293</v>
      </c>
      <c r="G22" s="6" t="s">
        <v>299</v>
      </c>
      <c r="H22" s="6" t="s">
        <v>300</v>
      </c>
      <c r="I22" s="6" t="s">
        <v>223</v>
      </c>
      <c r="J22" s="6"/>
      <c r="K22" s="6"/>
    </row>
    <row r="23" spans="1:11" ht="57.95" customHeight="1" x14ac:dyDescent="0.25">
      <c r="A23" s="5" t="s">
        <v>188</v>
      </c>
      <c r="B23" s="6" t="s">
        <v>225</v>
      </c>
      <c r="C23" s="6" t="s">
        <v>301</v>
      </c>
      <c r="D23" s="6" t="s">
        <v>218</v>
      </c>
      <c r="E23" s="6" t="s">
        <v>273</v>
      </c>
      <c r="F23" s="6" t="s">
        <v>293</v>
      </c>
      <c r="G23" s="6" t="s">
        <v>302</v>
      </c>
      <c r="H23" s="6" t="s">
        <v>303</v>
      </c>
      <c r="I23" s="6" t="s">
        <v>223</v>
      </c>
      <c r="J23" s="6"/>
      <c r="K23" s="6"/>
    </row>
    <row r="24" spans="1:11" ht="57.95" customHeight="1" x14ac:dyDescent="0.25">
      <c r="A24" s="5" t="s">
        <v>205</v>
      </c>
      <c r="B24" s="6" t="s">
        <v>239</v>
      </c>
      <c r="C24" s="6" t="s">
        <v>305</v>
      </c>
      <c r="D24" s="6" t="s">
        <v>306</v>
      </c>
      <c r="E24" s="6" t="s">
        <v>273</v>
      </c>
      <c r="F24" s="6" t="s">
        <v>33</v>
      </c>
      <c r="G24" s="6" t="s">
        <v>307</v>
      </c>
      <c r="H24" s="6" t="s">
        <v>308</v>
      </c>
      <c r="I24" s="6" t="s">
        <v>223</v>
      </c>
      <c r="J24" s="6"/>
      <c r="K24" s="6"/>
    </row>
    <row r="25" spans="1:11" ht="57.95" customHeight="1" x14ac:dyDescent="0.25">
      <c r="A25" s="5" t="s">
        <v>184</v>
      </c>
      <c r="B25" s="6" t="s">
        <v>258</v>
      </c>
      <c r="C25" s="6" t="s">
        <v>309</v>
      </c>
      <c r="D25" s="6" t="s">
        <v>237</v>
      </c>
      <c r="E25" s="6" t="s">
        <v>273</v>
      </c>
      <c r="F25" s="6" t="s">
        <v>33</v>
      </c>
      <c r="G25" s="6" t="s">
        <v>310</v>
      </c>
      <c r="H25" s="6" t="s">
        <v>311</v>
      </c>
      <c r="I25" s="6" t="s">
        <v>223</v>
      </c>
      <c r="J25" s="6"/>
      <c r="K25" s="6"/>
    </row>
    <row r="26" spans="1:11" ht="57.95" customHeight="1" x14ac:dyDescent="0.25">
      <c r="A26" s="5" t="s">
        <v>292</v>
      </c>
      <c r="B26" s="6" t="s">
        <v>239</v>
      </c>
      <c r="C26" s="6" t="s">
        <v>313</v>
      </c>
      <c r="D26" s="6" t="s">
        <v>314</v>
      </c>
      <c r="E26" s="6" t="s">
        <v>273</v>
      </c>
      <c r="F26" s="6" t="s">
        <v>312</v>
      </c>
      <c r="G26" s="6" t="s">
        <v>315</v>
      </c>
      <c r="H26" s="6" t="s">
        <v>316</v>
      </c>
      <c r="I26" s="6" t="s">
        <v>223</v>
      </c>
      <c r="J26" s="6"/>
      <c r="K26" s="6"/>
    </row>
    <row r="27" spans="1:11" ht="57.95" customHeight="1" x14ac:dyDescent="0.25">
      <c r="A27" s="5" t="s">
        <v>187</v>
      </c>
      <c r="B27" s="6" t="s">
        <v>225</v>
      </c>
      <c r="C27" s="6" t="s">
        <v>318</v>
      </c>
      <c r="D27" s="6" t="s">
        <v>218</v>
      </c>
      <c r="E27" s="6" t="s">
        <v>273</v>
      </c>
      <c r="F27" s="6" t="s">
        <v>312</v>
      </c>
      <c r="G27" s="6" t="s">
        <v>319</v>
      </c>
      <c r="H27" s="6" t="s">
        <v>320</v>
      </c>
      <c r="I27" s="6" t="s">
        <v>223</v>
      </c>
      <c r="J27" s="6"/>
      <c r="K27" s="6"/>
    </row>
    <row r="28" spans="1:11" ht="57.95" customHeight="1" x14ac:dyDescent="0.25">
      <c r="A28" s="5" t="s">
        <v>159</v>
      </c>
      <c r="B28" s="6" t="s">
        <v>258</v>
      </c>
      <c r="C28" s="6" t="s">
        <v>321</v>
      </c>
      <c r="D28" s="6" t="s">
        <v>218</v>
      </c>
      <c r="E28" s="6" t="s">
        <v>322</v>
      </c>
      <c r="F28" s="6" t="s">
        <v>293</v>
      </c>
      <c r="G28" s="6" t="s">
        <v>323</v>
      </c>
      <c r="H28" s="6" t="s">
        <v>324</v>
      </c>
      <c r="I28" s="6" t="s">
        <v>223</v>
      </c>
      <c r="J28" s="6"/>
      <c r="K28" s="6"/>
    </row>
    <row r="29" spans="1:11" ht="57.95" customHeight="1" x14ac:dyDescent="0.25">
      <c r="A29" s="5" t="s">
        <v>204</v>
      </c>
      <c r="B29" s="6" t="s">
        <v>258</v>
      </c>
      <c r="C29" s="6" t="s">
        <v>325</v>
      </c>
      <c r="D29" s="6" t="s">
        <v>218</v>
      </c>
      <c r="E29" s="6" t="s">
        <v>322</v>
      </c>
      <c r="F29" s="6" t="s">
        <v>312</v>
      </c>
      <c r="G29" s="6" t="s">
        <v>326</v>
      </c>
      <c r="H29" s="6" t="s">
        <v>327</v>
      </c>
      <c r="I29" s="6" t="s">
        <v>223</v>
      </c>
      <c r="J29" s="6"/>
      <c r="K29" s="6"/>
    </row>
    <row r="30" spans="1:11" ht="57.95" customHeight="1" x14ac:dyDescent="0.25">
      <c r="A30" s="5" t="s">
        <v>297</v>
      </c>
      <c r="B30" s="6" t="s">
        <v>258</v>
      </c>
      <c r="C30" s="6" t="s">
        <v>328</v>
      </c>
      <c r="D30" s="6" t="s">
        <v>218</v>
      </c>
      <c r="E30" s="6" t="s">
        <v>322</v>
      </c>
      <c r="F30" s="6" t="s">
        <v>312</v>
      </c>
      <c r="G30" s="6" t="s">
        <v>329</v>
      </c>
      <c r="H30" s="6" t="s">
        <v>330</v>
      </c>
      <c r="I30" s="6" t="s">
        <v>223</v>
      </c>
      <c r="J30" s="6"/>
      <c r="K30" s="6"/>
    </row>
  </sheetData>
  <autoFilter ref="A1:K30" xr:uid="{00000000-0009-0000-0000-000008000000}"/>
  <conditionalFormatting sqref="E2:E30">
    <cfRule type="cellIs" dxfId="13" priority="1" operator="equal">
      <formula>"P0"</formula>
    </cfRule>
  </conditionalFormatting>
  <conditionalFormatting sqref="I2:I30">
    <cfRule type="cellIs" dxfId="12" priority="2" operator="equal">
      <formula>"Open"</formula>
    </cfRule>
    <cfRule type="cellIs" dxfId="11" priority="3" operator="equal">
      <formula>"Answered"</formula>
    </cfRule>
  </conditionalFormatting>
  <dataValidations count="1">
    <dataValidation type="list" allowBlank="1" sqref="I2:I30" xr:uid="{00000000-0002-0000-0800-000000000000}">
      <formula1>"Open,Raised,Answered,Default accepted,Escalated"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6"/>
  <sheetViews>
    <sheetView zoomScale="103" zoomScaleNormal="41" workbookViewId="0">
      <pane xSplit="1" ySplit="4" topLeftCell="B8" activePane="bottomRight" state="frozen"/>
      <selection pane="topRight"/>
      <selection pane="bottomLeft"/>
      <selection pane="bottomRight" activeCell="A7" sqref="A7"/>
    </sheetView>
  </sheetViews>
  <sheetFormatPr defaultColWidth="8.85546875" defaultRowHeight="15" x14ac:dyDescent="0.25"/>
  <cols>
    <col min="1" max="1" width="8" customWidth="1"/>
    <col min="2" max="2" width="62" customWidth="1"/>
    <col min="3" max="3" width="70" customWidth="1"/>
    <col min="4" max="4" width="58" customWidth="1"/>
    <col min="5" max="5" width="10" customWidth="1"/>
    <col min="6" max="6" width="22" customWidth="1"/>
    <col min="7" max="7" width="20" customWidth="1"/>
    <col min="8" max="8" width="4" customWidth="1"/>
  </cols>
  <sheetData>
    <row r="1" spans="1:8" ht="21" x14ac:dyDescent="0.35">
      <c r="A1" s="1" t="s">
        <v>382</v>
      </c>
    </row>
    <row r="2" spans="1:8" ht="30" customHeight="1" x14ac:dyDescent="0.25">
      <c r="A2" s="14" t="s">
        <v>331</v>
      </c>
      <c r="B2" s="15"/>
      <c r="C2" s="15"/>
      <c r="D2" s="15"/>
      <c r="E2" s="15"/>
      <c r="F2" s="15"/>
      <c r="G2" s="15"/>
      <c r="H2" s="15"/>
    </row>
    <row r="4" spans="1:8" ht="30" customHeight="1" x14ac:dyDescent="0.25">
      <c r="A4" s="4" t="s">
        <v>3</v>
      </c>
      <c r="B4" s="4" t="s">
        <v>332</v>
      </c>
      <c r="C4" s="4" t="s">
        <v>333</v>
      </c>
      <c r="D4" s="4" t="s">
        <v>334</v>
      </c>
      <c r="E4" s="4" t="s">
        <v>208</v>
      </c>
      <c r="F4" s="4" t="s">
        <v>335</v>
      </c>
      <c r="G4" s="4" t="s">
        <v>336</v>
      </c>
      <c r="H4" s="4"/>
    </row>
    <row r="5" spans="1:8" ht="62.1" customHeight="1" x14ac:dyDescent="0.25">
      <c r="A5" s="5" t="s">
        <v>104</v>
      </c>
      <c r="B5" s="6" t="s">
        <v>337</v>
      </c>
      <c r="C5" s="6" t="s">
        <v>338</v>
      </c>
      <c r="D5" s="6" t="s">
        <v>339</v>
      </c>
      <c r="E5" s="6" t="s">
        <v>102</v>
      </c>
      <c r="F5" s="6" t="s">
        <v>340</v>
      </c>
      <c r="G5" s="6" t="s">
        <v>96</v>
      </c>
    </row>
    <row r="6" spans="1:8" ht="62.1" customHeight="1" x14ac:dyDescent="0.25">
      <c r="A6" s="5" t="s">
        <v>194</v>
      </c>
      <c r="B6" s="6" t="s">
        <v>341</v>
      </c>
      <c r="C6" s="6" t="s">
        <v>342</v>
      </c>
      <c r="D6" s="6" t="s">
        <v>343</v>
      </c>
      <c r="E6" s="6" t="s">
        <v>108</v>
      </c>
      <c r="F6" s="6" t="s">
        <v>340</v>
      </c>
      <c r="G6" s="6" t="s">
        <v>96</v>
      </c>
    </row>
    <row r="7" spans="1:8" ht="62.1" customHeight="1" x14ac:dyDescent="0.25">
      <c r="A7" s="5" t="s">
        <v>193</v>
      </c>
      <c r="B7" s="6" t="s">
        <v>344</v>
      </c>
      <c r="C7" s="6" t="s">
        <v>345</v>
      </c>
      <c r="D7" s="6" t="s">
        <v>346</v>
      </c>
      <c r="E7" s="6" t="s">
        <v>108</v>
      </c>
      <c r="F7" s="6" t="s">
        <v>340</v>
      </c>
      <c r="G7" s="6" t="s">
        <v>96</v>
      </c>
    </row>
    <row r="8" spans="1:8" ht="62.1" customHeight="1" x14ac:dyDescent="0.25">
      <c r="A8" s="5" t="s">
        <v>190</v>
      </c>
      <c r="B8" s="6" t="s">
        <v>347</v>
      </c>
      <c r="C8" s="6" t="s">
        <v>348</v>
      </c>
      <c r="D8" s="6" t="s">
        <v>349</v>
      </c>
      <c r="E8" s="6" t="s">
        <v>105</v>
      </c>
      <c r="F8" s="6" t="s">
        <v>340</v>
      </c>
      <c r="G8" s="6" t="s">
        <v>96</v>
      </c>
    </row>
    <row r="9" spans="1:8" ht="62.1" customHeight="1" x14ac:dyDescent="0.25">
      <c r="A9" s="5" t="s">
        <v>115</v>
      </c>
      <c r="B9" s="6" t="s">
        <v>350</v>
      </c>
      <c r="C9" s="6" t="s">
        <v>351</v>
      </c>
      <c r="D9" s="6" t="s">
        <v>352</v>
      </c>
      <c r="E9" s="6" t="s">
        <v>105</v>
      </c>
      <c r="F9" s="6" t="s">
        <v>340</v>
      </c>
      <c r="G9" s="6" t="s">
        <v>96</v>
      </c>
    </row>
    <row r="10" spans="1:8" ht="62.1" customHeight="1" x14ac:dyDescent="0.25">
      <c r="A10" s="5" t="s">
        <v>197</v>
      </c>
      <c r="B10" s="6" t="s">
        <v>353</v>
      </c>
      <c r="C10" s="6" t="s">
        <v>354</v>
      </c>
      <c r="D10" s="6" t="s">
        <v>384</v>
      </c>
      <c r="E10" s="6" t="s">
        <v>106</v>
      </c>
      <c r="F10" s="6" t="s">
        <v>340</v>
      </c>
      <c r="G10" s="6" t="s">
        <v>96</v>
      </c>
    </row>
    <row r="11" spans="1:8" ht="62.1" customHeight="1" x14ac:dyDescent="0.25">
      <c r="A11" s="5" t="s">
        <v>198</v>
      </c>
      <c r="B11" s="6" t="s">
        <v>355</v>
      </c>
      <c r="C11" s="6" t="s">
        <v>356</v>
      </c>
      <c r="D11" s="6" t="s">
        <v>357</v>
      </c>
      <c r="E11" s="6" t="s">
        <v>116</v>
      </c>
      <c r="F11" s="6" t="s">
        <v>340</v>
      </c>
      <c r="G11" s="6" t="s">
        <v>96</v>
      </c>
    </row>
    <row r="12" spans="1:8" ht="62.1" customHeight="1" x14ac:dyDescent="0.25">
      <c r="A12" s="5" t="s">
        <v>170</v>
      </c>
      <c r="B12" s="6" t="s">
        <v>358</v>
      </c>
      <c r="C12" s="6" t="s">
        <v>359</v>
      </c>
      <c r="D12" s="6" t="s">
        <v>360</v>
      </c>
      <c r="E12" s="6" t="s">
        <v>105</v>
      </c>
      <c r="F12" s="6" t="s">
        <v>340</v>
      </c>
      <c r="G12" s="6" t="s">
        <v>96</v>
      </c>
    </row>
    <row r="13" spans="1:8" ht="62.1" customHeight="1" x14ac:dyDescent="0.25">
      <c r="A13" s="5" t="s">
        <v>200</v>
      </c>
      <c r="B13" s="6" t="s">
        <v>361</v>
      </c>
      <c r="C13" s="6" t="s">
        <v>362</v>
      </c>
      <c r="D13" s="6" t="s">
        <v>363</v>
      </c>
      <c r="E13" s="6" t="s">
        <v>122</v>
      </c>
      <c r="F13" s="6" t="s">
        <v>340</v>
      </c>
      <c r="G13" s="6" t="s">
        <v>96</v>
      </c>
    </row>
    <row r="14" spans="1:8" ht="62.1" customHeight="1" x14ac:dyDescent="0.25">
      <c r="A14" s="5" t="s">
        <v>202</v>
      </c>
      <c r="B14" s="6" t="s">
        <v>381</v>
      </c>
      <c r="C14" s="6" t="s">
        <v>364</v>
      </c>
      <c r="D14" s="6" t="s">
        <v>365</v>
      </c>
      <c r="E14" s="6" t="s">
        <v>108</v>
      </c>
      <c r="F14" s="6" t="s">
        <v>340</v>
      </c>
      <c r="G14" s="6" t="s">
        <v>96</v>
      </c>
    </row>
    <row r="15" spans="1:8" ht="62.1" customHeight="1" x14ac:dyDescent="0.25">
      <c r="A15" s="5" t="s">
        <v>186</v>
      </c>
      <c r="B15" s="6" t="s">
        <v>380</v>
      </c>
      <c r="C15" s="6" t="s">
        <v>366</v>
      </c>
      <c r="D15" s="6" t="s">
        <v>367</v>
      </c>
      <c r="E15" s="6" t="s">
        <v>116</v>
      </c>
      <c r="F15" s="6" t="s">
        <v>340</v>
      </c>
      <c r="G15" s="6" t="s">
        <v>96</v>
      </c>
    </row>
    <row r="16" spans="1:8" ht="62.1" customHeight="1" x14ac:dyDescent="0.25">
      <c r="A16" s="5" t="s">
        <v>196</v>
      </c>
      <c r="B16" s="6" t="s">
        <v>368</v>
      </c>
      <c r="C16" s="6" t="s">
        <v>369</v>
      </c>
      <c r="D16" s="6" t="s">
        <v>370</v>
      </c>
      <c r="E16" s="6" t="s">
        <v>108</v>
      </c>
      <c r="F16" s="6" t="s">
        <v>371</v>
      </c>
      <c r="G16" s="6" t="s">
        <v>96</v>
      </c>
    </row>
  </sheetData>
  <mergeCells count="1">
    <mergeCell ref="A2:H2"/>
  </mergeCells>
  <conditionalFormatting sqref="F5:F16">
    <cfRule type="cellIs" dxfId="10" priority="1" operator="notEqual">
      <formula>"Yes"</formula>
    </cfRule>
  </conditionalFormatting>
  <conditionalFormatting sqref="G5:G16">
    <cfRule type="cellIs" dxfId="9" priority="2" operator="equal">
      <formula>"Approved"</formula>
    </cfRule>
  </conditionalFormatting>
  <dataValidations count="1">
    <dataValidation type="list" sqref="G5:G16" xr:uid="{00000000-0002-0000-0900-000000000000}">
      <formula1>"Not reviewed,Approved,Approved with changes,Rejected,Needs discussion"</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1"/>
  <sheetViews>
    <sheetView tabSelected="1" zoomScale="127" zoomScaleNormal="167" workbookViewId="0">
      <selection activeCell="C6" sqref="C6"/>
    </sheetView>
  </sheetViews>
  <sheetFormatPr defaultColWidth="8.85546875" defaultRowHeight="15" x14ac:dyDescent="0.25"/>
  <cols>
    <col min="1" max="1" width="30" customWidth="1"/>
    <col min="2" max="7" width="14" customWidth="1"/>
    <col min="8" max="8" width="20" customWidth="1"/>
  </cols>
  <sheetData>
    <row r="1" spans="1:3" ht="21" x14ac:dyDescent="0.35">
      <c r="A1" s="1" t="s">
        <v>372</v>
      </c>
    </row>
    <row r="2" spans="1:3" x14ac:dyDescent="0.25">
      <c r="A2" s="2" t="s">
        <v>386</v>
      </c>
    </row>
    <row r="4" spans="1:3" x14ac:dyDescent="0.25">
      <c r="A4" s="3" t="s">
        <v>373</v>
      </c>
    </row>
    <row r="5" spans="1:3" ht="30" customHeight="1" x14ac:dyDescent="0.25">
      <c r="A5" s="4"/>
      <c r="B5" s="18" t="s">
        <v>24</v>
      </c>
      <c r="C5" s="25"/>
    </row>
    <row r="6" spans="1:3" x14ac:dyDescent="0.25">
      <c r="A6" s="11" t="s">
        <v>19</v>
      </c>
      <c r="B6" s="12">
        <f>9*3*8</f>
        <v>216</v>
      </c>
    </row>
    <row r="7" spans="1:3" x14ac:dyDescent="0.25">
      <c r="A7" s="11" t="s">
        <v>374</v>
      </c>
      <c r="B7" s="12">
        <f>SUMIFS('Sprint 1'!$M$7:$M$23,'Sprint 1'!$B$7:$B$23,"Story")</f>
        <v>198</v>
      </c>
    </row>
    <row r="8" spans="1:3" x14ac:dyDescent="0.25">
      <c r="A8" s="11" t="s">
        <v>375</v>
      </c>
      <c r="B8" s="13">
        <f t="shared" ref="B8:G8" si="0">IF(B6=0,0,B7/B6)</f>
        <v>0.91666666666666663</v>
      </c>
    </row>
    <row r="10" spans="1:3" x14ac:dyDescent="0.25">
      <c r="A10" s="3" t="s">
        <v>376</v>
      </c>
    </row>
    <row r="11" spans="1:3" ht="30" customHeight="1" x14ac:dyDescent="0.25">
      <c r="A11" s="4" t="s">
        <v>5</v>
      </c>
      <c r="B11" s="18" t="s">
        <v>24</v>
      </c>
      <c r="C11" s="18" t="s">
        <v>19</v>
      </c>
    </row>
    <row r="12" spans="1:3" x14ac:dyDescent="0.25">
      <c r="A12" s="11" t="s">
        <v>0</v>
      </c>
      <c r="B12" s="17">
        <f>SUMIFS('Sprint 1'!$M$7:$M$23,'Sprint 1'!$B$7:$B$23,"Story",'Sprint 1'!$D$7:$D$23,$A12)</f>
        <v>38</v>
      </c>
      <c r="C12" s="24"/>
    </row>
    <row r="13" spans="1:3" x14ac:dyDescent="0.25">
      <c r="A13" s="11" t="s">
        <v>378</v>
      </c>
      <c r="B13" s="17">
        <f>SUMIFS('Sprint 1'!$M$7:$M$23,'Sprint 1'!$B$7:$B$23,"Story",'Sprint 1'!$D$7:$D$23,$A13)</f>
        <v>66</v>
      </c>
      <c r="C13" s="24"/>
    </row>
    <row r="14" spans="1:3" x14ac:dyDescent="0.25">
      <c r="A14" s="11" t="s">
        <v>116</v>
      </c>
      <c r="B14" s="17">
        <f>SUMIFS('Sprint 1'!$M$7:$M$23,'Sprint 1'!$B$7:$B$23,"Story",'Sprint 1'!$D$7:$D$23,$A14)</f>
        <v>32</v>
      </c>
      <c r="C14" s="24"/>
    </row>
    <row r="15" spans="1:3" x14ac:dyDescent="0.25">
      <c r="A15" s="11" t="s">
        <v>1</v>
      </c>
      <c r="B15" s="17">
        <f>SUMIFS('Sprint 1'!$M$7:$M$23,'Sprint 1'!$B$7:$B$23,"Story",'Sprint 1'!$D$7:$D$23,$A15)</f>
        <v>56</v>
      </c>
      <c r="C15" s="24"/>
    </row>
    <row r="16" spans="1:3" x14ac:dyDescent="0.25">
      <c r="A16" s="11" t="s">
        <v>2</v>
      </c>
      <c r="B16" s="17">
        <f>SUMIFS('Sprint 1'!$M$7:$M$23,'Sprint 1'!$B$7:$B$23,"Story",'Sprint 1'!$D$7:$D$23,$A16)</f>
        <v>6</v>
      </c>
      <c r="C16" s="24"/>
    </row>
    <row r="18" spans="1:8" ht="30" customHeight="1" x14ac:dyDescent="0.25">
      <c r="A18" s="14" t="s">
        <v>387</v>
      </c>
      <c r="B18" s="15"/>
      <c r="C18" s="15"/>
      <c r="D18" s="15"/>
      <c r="E18" s="15"/>
      <c r="F18" s="15"/>
      <c r="G18" s="15"/>
      <c r="H18" s="15"/>
    </row>
    <row r="21" spans="1:8" ht="30" customHeight="1" x14ac:dyDescent="0.25"/>
  </sheetData>
  <mergeCells count="1">
    <mergeCell ref="A18:H18"/>
  </mergeCells>
  <conditionalFormatting sqref="B34">
    <cfRule type="cellIs" dxfId="8" priority="25" operator="greaterThan">
      <formula>0</formula>
    </cfRule>
  </conditionalFormatting>
  <conditionalFormatting sqref="B8">
    <cfRule type="cellIs" dxfId="7" priority="2" operator="greaterThan">
      <formula>1</formula>
    </cfRule>
    <cfRule type="cellIs" dxfId="6" priority="3" operator="between">
      <formula>0.85</formula>
      <formula>1</formula>
    </cfRule>
    <cfRule type="cellIs" dxfId="5" priority="4" operator="lessThan">
      <formula>0.85</formula>
    </cfRule>
  </conditionalFormatting>
  <conditionalFormatting sqref="B12">
    <cfRule type="expression" dxfId="4" priority="26">
      <formula>AND($C12&lt;&gt;"",B12&gt;$C12)</formula>
    </cfRule>
  </conditionalFormatting>
  <conditionalFormatting sqref="B13">
    <cfRule type="expression" dxfId="3" priority="27">
      <formula>AND($C13&lt;&gt;"",B13&gt;$C13)</formula>
    </cfRule>
  </conditionalFormatting>
  <conditionalFormatting sqref="B14">
    <cfRule type="expression" dxfId="2" priority="28">
      <formula>AND($C14&lt;&gt;"",B14&gt;$C14)</formula>
    </cfRule>
  </conditionalFormatting>
  <conditionalFormatting sqref="B15">
    <cfRule type="expression" dxfId="1" priority="29">
      <formula>AND($C15&lt;&gt;"",B15&gt;$C15)</formula>
    </cfRule>
  </conditionalFormatting>
  <conditionalFormatting sqref="B16">
    <cfRule type="expression" dxfId="0" priority="30">
      <formula>AND($C16&lt;&gt;"",B16&gt;$C16)</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Sprints</vt:lpstr>
      <vt:lpstr>Sprint 1</vt:lpstr>
      <vt:lpstr>Prerequisites</vt:lpstr>
      <vt:lpstr>Debt &amp; Decisions</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Nikolozi Metreveli</cp:lastModifiedBy>
  <cp:revision/>
  <dcterms:created xsi:type="dcterms:W3CDTF">2026-08-24T14:03:58Z</dcterms:created>
  <dcterms:modified xsi:type="dcterms:W3CDTF">2026-08-25T17:02:52Z</dcterms:modified>
  <cp:category/>
  <cp:contentStatus/>
</cp:coreProperties>
</file>